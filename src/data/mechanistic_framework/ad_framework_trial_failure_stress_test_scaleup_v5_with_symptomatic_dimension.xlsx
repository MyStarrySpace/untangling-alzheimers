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rams" sheetId="1" state="visible" r:id="rId1"/>
    <sheet xmlns:r="http://schemas.openxmlformats.org/officeDocument/2006/relationships" name="Cases_v2" sheetId="2" state="visible" r:id="rId2"/>
    <sheet xmlns:r="http://schemas.openxmlformats.org/officeDocument/2006/relationships" name="Rubric_v2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How_to_use" sheetId="5" state="visible" r:id="rId5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High risk threshold (total score ≥)</t>
        </is>
      </c>
      <c r="B1" s="2" t="n">
        <v>10</v>
      </c>
    </row>
    <row r="2">
      <c r="A2" s="1" t="inlineStr">
        <is>
          <t>Medium risk threshold (total score ≥)</t>
        </is>
      </c>
      <c r="B2" s="2" t="n">
        <v>5</v>
      </c>
    </row>
    <row r="3"/>
    <row r="4">
      <c r="A4" s="1" t="inlineStr">
        <is>
          <t>Notes</t>
        </is>
      </c>
    </row>
    <row r="5">
      <c r="A5" s="3" t="inlineStr">
        <is>
          <t>Adjust thresholds to tune sensitivity vs specificity.</t>
        </is>
      </c>
    </row>
    <row r="7">
      <c r="A7" t="inlineStr">
        <is>
          <t>Symptomatic uncertainty score (Cases_v2!Z):</t>
        </is>
      </c>
      <c r="B7" t="inlineStr">
        <is>
          <t>Adds +2 for 5-HT6 / H3 / muscarinic / nicotinic symptomatic classes (editable).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8" customWidth="1" min="4" max="4"/>
    <col width="40" customWidth="1" min="5" max="5"/>
    <col width="40" customWidth="1" min="6" max="6"/>
    <col width="40" customWidth="1" min="7" max="7"/>
    <col width="18" customWidth="1" min="8" max="8"/>
    <col width="40" customWidth="1" min="9" max="9"/>
    <col width="18" customWidth="1" min="10" max="10"/>
    <col width="18" customWidth="1" min="11" max="11"/>
    <col width="18" customWidth="1" min="12" max="12"/>
    <col width="40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8" customWidth="1" min="22" max="22"/>
    <col width="18" customWidth="1" min="23" max="23"/>
    <col width="18" customWidth="1" min="24" max="24"/>
  </cols>
  <sheetData>
    <row r="1">
      <c r="A1" s="4" t="inlineStr">
        <is>
          <t>Outcome label (1=fail, 0=success)</t>
        </is>
      </c>
      <c r="B1" s="4" t="inlineStr">
        <is>
          <t>Program</t>
        </is>
      </c>
      <c r="C1" s="4" t="inlineStr">
        <is>
          <t>Class / target</t>
        </is>
      </c>
      <c r="D1" s="4" t="inlineStr">
        <is>
          <t>Pivotal population</t>
        </is>
      </c>
      <c r="E1" s="4" t="inlineStr">
        <is>
          <t>Observed outcome</t>
        </is>
      </c>
      <c r="F1" s="4" t="inlineStr">
        <is>
          <t>Primary failure mode</t>
        </is>
      </c>
      <c r="G1" s="4" t="inlineStr">
        <is>
          <t>Framework red flags (from DAG logic)</t>
        </is>
      </c>
      <c r="H1" s="4" t="inlineStr">
        <is>
          <t>Predicted failure risk</t>
        </is>
      </c>
      <c r="I1" s="4" t="inlineStr">
        <is>
          <t>Notes</t>
        </is>
      </c>
      <c r="J1" s="4" t="inlineStr">
        <is>
          <t>Sex/menopause modifier accounted?</t>
        </is>
      </c>
      <c r="K1" s="4" t="inlineStr">
        <is>
          <t>Ancestry modifier accounted?</t>
        </is>
      </c>
      <c r="L1" s="4" t="inlineStr">
        <is>
          <t>APOE stratified?</t>
        </is>
      </c>
      <c r="M1" s="4" t="inlineStr">
        <is>
          <t>Representation / enrollment note</t>
        </is>
      </c>
      <c r="N1" s="4" t="inlineStr">
        <is>
          <t>Score: Target pleiotropy / essential physiology (0-2)</t>
        </is>
      </c>
      <c r="O1" s="4" t="inlineStr">
        <is>
          <t>Score: Wrong pathological species targeted (0-2)</t>
        </is>
      </c>
      <c r="P1" s="4" t="inlineStr">
        <is>
          <t>Score: Stage mismatch (0-2)</t>
        </is>
      </c>
      <c r="Q1" s="4" t="inlineStr">
        <is>
          <t>Score: Human causality weak (0-2)</t>
        </is>
      </c>
      <c r="R1" s="4" t="inlineStr">
        <is>
          <t>Score: Target engagement hard to measure/achieve (0-2)</t>
        </is>
      </c>
      <c r="S1" s="4" t="inlineStr">
        <is>
          <t>Score: Safety monitoring burden (0-2)</t>
        </is>
      </c>
      <c r="T1" s="4" t="inlineStr">
        <is>
          <t>Score: Sex-pathway effect modifier unmodeled (0-2)</t>
        </is>
      </c>
      <c r="U1" s="4" t="inlineStr">
        <is>
          <t>Score: Ancestry-pathway effect modifier unmodeled (0-2)</t>
        </is>
      </c>
      <c r="V1" s="4" t="inlineStr">
        <is>
          <t>Total score (auto, incl symptomatic dimension)</t>
        </is>
      </c>
      <c r="W1" s="4" t="inlineStr">
        <is>
          <t>Predicted risk (auto)</t>
        </is>
      </c>
      <c r="X1" s="4" t="inlineStr">
        <is>
          <t>Predicted fail (auto, 1=fail,0=success)</t>
        </is>
      </c>
      <c r="Y1" t="inlineStr">
        <is>
          <t>Program category (auto)</t>
        </is>
      </c>
      <c r="Z1" t="inlineStr">
        <is>
          <t>Score: Symptomatic effect size uncertainty (0-2)</t>
        </is>
      </c>
      <c r="AA1" t="inlineStr">
        <is>
          <t>Failure-point tag (F1-F4) [manual]</t>
        </is>
      </c>
    </row>
    <row r="2">
      <c r="A2" s="5" t="n">
        <v>1</v>
      </c>
      <c r="B2" s="6" t="inlineStr">
        <is>
          <t>Semagacestat</t>
        </is>
      </c>
      <c r="C2" s="7" t="inlineStr">
        <is>
          <t>γ-secretase inhibitor (Aβ production)</t>
        </is>
      </c>
      <c r="D2" s="7" t="inlineStr">
        <is>
          <t>Mild-to-moderate AD</t>
        </is>
      </c>
      <c r="E2" s="7" t="inlineStr">
        <is>
          <t>Failed; worse cognition/function + AEs</t>
        </is>
      </c>
      <c r="F2" s="7" t="inlineStr">
        <is>
          <t>Safety + efficacy</t>
        </is>
      </c>
      <c r="G2" s="7" t="inlineStr">
        <is>
          <t>Pleiotropy/toxicity=2; Stage mismatch=2; Safety burden=2; Ancestry modifier unmodeled=1</t>
        </is>
      </c>
      <c r="H2" s="6" t="inlineStr">
        <is>
          <t>Medium</t>
        </is>
      </c>
      <c r="I2" s="7" t="inlineStr">
        <is>
          <t>Classic 'biomarker changed but clinical worsened' type.</t>
        </is>
      </c>
      <c r="J2" s="5" t="inlineStr">
        <is>
          <t>Unknown</t>
        </is>
      </c>
      <c r="K2" s="5" t="inlineStr">
        <is>
          <t>Unknown</t>
        </is>
      </c>
      <c r="L2" s="5" t="inlineStr">
        <is>
          <t>Unknown</t>
        </is>
      </c>
      <c r="M2" s="8" t="inlineStr"/>
      <c r="N2" s="5" t="n">
        <v>2</v>
      </c>
      <c r="O2" s="5" t="n">
        <v>0</v>
      </c>
      <c r="P2" s="5" t="n">
        <v>2</v>
      </c>
      <c r="Q2" s="5" t="n">
        <v>0</v>
      </c>
      <c r="R2" s="5" t="n">
        <v>0</v>
      </c>
      <c r="S2" s="5" t="n">
        <v>2</v>
      </c>
      <c r="T2" s="5" t="n">
        <v>0</v>
      </c>
      <c r="U2" s="5" t="n">
        <v>1</v>
      </c>
      <c r="V2" s="6">
        <f>SUM(N2:U2)+Z2</f>
        <v/>
      </c>
      <c r="W2" s="6">
        <f>IF(V2&gt;=Params!$B$1,"High",IF(V2&gt;=Params!$B$2,"Medium","Low"))</f>
        <v/>
      </c>
      <c r="X2" s="6">
        <f>IF(W2="High",1,0)</f>
        <v/>
      </c>
      <c r="Y2">
        <f>IF(OR(ISNUMBER(SEARCH("Cholinesterase",$C2)),ISNUMBER(SEARCH("NMDA",$C2)),ISNUMBER(SEARCH("5-HT6",$C2)),ISNUMBER(SEARCH("H3",$C2)),ISNUMBER(SEARCH("Muscarinic",$C2)),ISNUMBER(SEARCH("Nicotinic",$C2)),ISNUMBER(SEARCH("ampakine",$C2)),ISNUMBER(SEARCH("antipsychotic",$C2)),ISNUMBER(SEARCH("symptomatic",$C2))),"Symptomatic","DMT")</f>
        <v/>
      </c>
      <c r="Z2">
        <f>IF(OR(ISNUMBER(SEARCH("5-HT6",$C2)),ISNUMBER(SEARCH("Histamine H3",$C2)),ISNUMBER(SEARCH("H3 receptor",$C2)),ISNUMBER(SEARCH("Muscarinic",$C2)),ISNUMBER(SEARCH("Nicotinic",$C2))),2,0)</f>
        <v/>
      </c>
    </row>
    <row r="3">
      <c r="A3" s="5" t="n">
        <v>1</v>
      </c>
      <c r="B3" s="6" t="inlineStr">
        <is>
          <t>Verubecestat (MK-8931)</t>
        </is>
      </c>
      <c r="C3" s="7" t="inlineStr">
        <is>
          <t>BACE1 inhibitor (Aβ production)</t>
        </is>
      </c>
      <c r="D3" s="7" t="inlineStr">
        <is>
          <t>Mild-to-moderate AD (EPOCH); prodromal AD (APECS)</t>
        </is>
      </c>
      <c r="E3" s="7" t="inlineStr">
        <is>
          <t>Discontinued for lack of benefit</t>
        </is>
      </c>
      <c r="F3" s="7" t="inlineStr">
        <is>
          <t>Efficacy (plus tolerability considerations)</t>
        </is>
      </c>
      <c r="G3" s="7" t="inlineStr">
        <is>
          <t>Pleiotropy/toxicity=2; Safety burden=2; Ancestry modifier unmodeled=1</t>
        </is>
      </c>
      <c r="H3" s="6" t="inlineStr">
        <is>
          <t>Medium</t>
        </is>
      </c>
      <c r="I3" s="7" t="n"/>
      <c r="J3" s="5" t="inlineStr">
        <is>
          <t>Unknown</t>
        </is>
      </c>
      <c r="K3" s="5" t="inlineStr">
        <is>
          <t>Unknown</t>
        </is>
      </c>
      <c r="L3" s="5" t="inlineStr">
        <is>
          <t>Unknown</t>
        </is>
      </c>
      <c r="M3" s="8" t="inlineStr"/>
      <c r="N3" s="5" t="n">
        <v>2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2</v>
      </c>
      <c r="T3" s="5" t="n">
        <v>0</v>
      </c>
      <c r="U3" s="5" t="n">
        <v>1</v>
      </c>
      <c r="V3" s="6">
        <f>SUM(N3:U3)+Z3</f>
        <v/>
      </c>
      <c r="W3" s="6">
        <f>IF(V3&gt;=Params!$B$1,"High",IF(V3&gt;=Params!$B$2,"Medium","Low"))</f>
        <v/>
      </c>
      <c r="X3" s="6">
        <f>IF(W3="High",1,0)</f>
        <v/>
      </c>
      <c r="Y3">
        <f>IF(OR(ISNUMBER(SEARCH("Cholinesterase",$C3)),ISNUMBER(SEARCH("NMDA",$C3)),ISNUMBER(SEARCH("5-HT6",$C3)),ISNUMBER(SEARCH("H3",$C3)),ISNUMBER(SEARCH("Muscarinic",$C3)),ISNUMBER(SEARCH("Nicotinic",$C3)),ISNUMBER(SEARCH("ampakine",$C3)),ISNUMBER(SEARCH("antipsychotic",$C3)),ISNUMBER(SEARCH("symptomatic",$C3))),"Symptomatic","DMT")</f>
        <v/>
      </c>
      <c r="Z3">
        <f>IF(OR(ISNUMBER(SEARCH("5-HT6",$C3)),ISNUMBER(SEARCH("Histamine H3",$C3)),ISNUMBER(SEARCH("H3 receptor",$C3)),ISNUMBER(SEARCH("Muscarinic",$C3)),ISNUMBER(SEARCH("Nicotinic",$C3))),2,0)</f>
        <v/>
      </c>
    </row>
    <row r="4">
      <c r="A4" s="5" t="n">
        <v>1</v>
      </c>
      <c r="B4" s="6" t="inlineStr">
        <is>
          <t>Atabecestat (JNJ-54861911)</t>
        </is>
      </c>
      <c r="C4" s="7" t="inlineStr">
        <is>
          <t>BACE1 inhibitor</t>
        </is>
      </c>
      <c r="D4" s="7" t="inlineStr">
        <is>
          <t>Preclinical / asymptomatic at risk</t>
        </is>
      </c>
      <c r="E4" s="7" t="inlineStr">
        <is>
          <t>Development halted (safety concerns incl. liver signals)</t>
        </is>
      </c>
      <c r="F4" s="7" t="inlineStr">
        <is>
          <t>Safety</t>
        </is>
      </c>
      <c r="G4" s="7" t="inlineStr">
        <is>
          <t>Pleiotropy/toxicity=2; Stage mismatch=2; Safety burden=2; Ancestry modifier unmodeled=1</t>
        </is>
      </c>
      <c r="H4" s="6" t="inlineStr">
        <is>
          <t>Medium</t>
        </is>
      </c>
      <c r="I4" s="7" t="n"/>
      <c r="J4" s="5" t="inlineStr">
        <is>
          <t>Unknown</t>
        </is>
      </c>
      <c r="K4" s="5" t="inlineStr">
        <is>
          <t>Unknown</t>
        </is>
      </c>
      <c r="L4" s="5" t="inlineStr">
        <is>
          <t>Unknown</t>
        </is>
      </c>
      <c r="M4" s="8" t="inlineStr"/>
      <c r="N4" s="5" t="n">
        <v>2</v>
      </c>
      <c r="O4" s="5" t="n">
        <v>0</v>
      </c>
      <c r="P4" s="5" t="n">
        <v>2</v>
      </c>
      <c r="Q4" s="5" t="n">
        <v>0</v>
      </c>
      <c r="R4" s="5" t="n">
        <v>0</v>
      </c>
      <c r="S4" s="5" t="n">
        <v>2</v>
      </c>
      <c r="T4" s="5" t="n">
        <v>0</v>
      </c>
      <c r="U4" s="5" t="n">
        <v>1</v>
      </c>
      <c r="V4" s="6">
        <f>SUM(N4:U4)+Z4</f>
        <v/>
      </c>
      <c r="W4" s="6">
        <f>IF(V4&gt;=Params!$B$1,"High",IF(V4&gt;=Params!$B$2,"Medium","Low"))</f>
        <v/>
      </c>
      <c r="X4" s="6">
        <f>IF(W4="High",1,0)</f>
        <v/>
      </c>
      <c r="Y4">
        <f>IF(OR(ISNUMBER(SEARCH("Cholinesterase",$C4)),ISNUMBER(SEARCH("NMDA",$C4)),ISNUMBER(SEARCH("5-HT6",$C4)),ISNUMBER(SEARCH("H3",$C4)),ISNUMBER(SEARCH("Muscarinic",$C4)),ISNUMBER(SEARCH("Nicotinic",$C4)),ISNUMBER(SEARCH("ampakine",$C4)),ISNUMBER(SEARCH("antipsychotic",$C4)),ISNUMBER(SEARCH("symptomatic",$C4))),"Symptomatic","DMT")</f>
        <v/>
      </c>
      <c r="Z4">
        <f>IF(OR(ISNUMBER(SEARCH("5-HT6",$C4)),ISNUMBER(SEARCH("Histamine H3",$C4)),ISNUMBER(SEARCH("H3 receptor",$C4)),ISNUMBER(SEARCH("Muscarinic",$C4)),ISNUMBER(SEARCH("Nicotinic",$C4))),2,0)</f>
        <v/>
      </c>
    </row>
    <row r="5">
      <c r="A5" s="5" t="n">
        <v>1</v>
      </c>
      <c r="B5" s="6" t="inlineStr">
        <is>
          <t>Elenbecestat (E2609)</t>
        </is>
      </c>
      <c r="C5" s="7" t="inlineStr">
        <is>
          <t>BACE inhibitor</t>
        </is>
      </c>
      <c r="D5" s="7" t="inlineStr">
        <is>
          <t>Early AD</t>
        </is>
      </c>
      <c r="E5" s="7" t="inlineStr">
        <is>
          <t>Phase 3 stopped (unfavorable risk–benefit)</t>
        </is>
      </c>
      <c r="F5" s="7" t="inlineStr">
        <is>
          <t>Risk–benefit / safety</t>
        </is>
      </c>
      <c r="G5" s="7" t="inlineStr">
        <is>
          <t>Pleiotropy/toxicity=2; Safety burden=2; Ancestry modifier unmodeled=1</t>
        </is>
      </c>
      <c r="H5" s="6" t="inlineStr">
        <is>
          <t>Medium</t>
        </is>
      </c>
      <c r="I5" s="7" t="n"/>
      <c r="J5" s="5" t="inlineStr">
        <is>
          <t>Unknown</t>
        </is>
      </c>
      <c r="K5" s="5" t="inlineStr">
        <is>
          <t>Unknown</t>
        </is>
      </c>
      <c r="L5" s="5" t="inlineStr">
        <is>
          <t>Unknown</t>
        </is>
      </c>
      <c r="M5" s="8" t="inlineStr"/>
      <c r="N5" s="5" t="n">
        <v>2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2</v>
      </c>
      <c r="T5" s="5" t="n">
        <v>0</v>
      </c>
      <c r="U5" s="5" t="n">
        <v>1</v>
      </c>
      <c r="V5" s="6">
        <f>SUM(N5:U5)+Z5</f>
        <v/>
      </c>
      <c r="W5" s="6">
        <f>IF(V5&gt;=Params!$B$1,"High",IF(V5&gt;=Params!$B$2,"Medium","Low"))</f>
        <v/>
      </c>
      <c r="X5" s="6">
        <f>IF(W5="High",1,0)</f>
        <v/>
      </c>
      <c r="Y5">
        <f>IF(OR(ISNUMBER(SEARCH("Cholinesterase",$C5)),ISNUMBER(SEARCH("NMDA",$C5)),ISNUMBER(SEARCH("5-HT6",$C5)),ISNUMBER(SEARCH("H3",$C5)),ISNUMBER(SEARCH("Muscarinic",$C5)),ISNUMBER(SEARCH("Nicotinic",$C5)),ISNUMBER(SEARCH("ampakine",$C5)),ISNUMBER(SEARCH("antipsychotic",$C5)),ISNUMBER(SEARCH("symptomatic",$C5))),"Symptomatic","DMT")</f>
        <v/>
      </c>
      <c r="Z5">
        <f>IF(OR(ISNUMBER(SEARCH("5-HT6",$C5)),ISNUMBER(SEARCH("Histamine H3",$C5)),ISNUMBER(SEARCH("H3 receptor",$C5)),ISNUMBER(SEARCH("Muscarinic",$C5)),ISNUMBER(SEARCH("Nicotinic",$C5))),2,0)</f>
        <v/>
      </c>
    </row>
    <row r="6">
      <c r="A6" s="5" t="n">
        <v>1</v>
      </c>
      <c r="B6" s="6" t="inlineStr">
        <is>
          <t>Umibecestat (CNP520)</t>
        </is>
      </c>
      <c r="C6" s="7" t="inlineStr">
        <is>
          <t>BACE1 inhibitor</t>
        </is>
      </c>
      <c r="D6" s="7" t="inlineStr">
        <is>
          <t>Cognitively unimpaired at genetic risk (prevention)</t>
        </is>
      </c>
      <c r="E6" s="7" t="inlineStr">
        <is>
          <t>Trials stopped after cognitive worsening signal</t>
        </is>
      </c>
      <c r="F6" s="7" t="inlineStr">
        <is>
          <t>Safety/negative cognitive signal</t>
        </is>
      </c>
      <c r="G6" s="7" t="inlineStr">
        <is>
          <t>Pleiotropy/toxicity=2; Safety burden=2; Ancestry modifier unmodeled=1</t>
        </is>
      </c>
      <c r="H6" s="6" t="inlineStr">
        <is>
          <t>Medium</t>
        </is>
      </c>
      <c r="I6" s="7" t="n"/>
      <c r="J6" s="5" t="inlineStr">
        <is>
          <t>Unknown</t>
        </is>
      </c>
      <c r="K6" s="5" t="inlineStr">
        <is>
          <t>Unknown</t>
        </is>
      </c>
      <c r="L6" s="5" t="inlineStr">
        <is>
          <t>Unknown</t>
        </is>
      </c>
      <c r="M6" s="8" t="inlineStr"/>
      <c r="N6" s="5" t="n">
        <v>2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2</v>
      </c>
      <c r="T6" s="5" t="n">
        <v>0</v>
      </c>
      <c r="U6" s="5" t="n">
        <v>1</v>
      </c>
      <c r="V6" s="6">
        <f>SUM(N6:U6)+Z6</f>
        <v/>
      </c>
      <c r="W6" s="6">
        <f>IF(V6&gt;=Params!$B$1,"High",IF(V6&gt;=Params!$B$2,"Medium","Low"))</f>
        <v/>
      </c>
      <c r="X6" s="6">
        <f>IF(W6="High",1,0)</f>
        <v/>
      </c>
      <c r="Y6">
        <f>IF(OR(ISNUMBER(SEARCH("Cholinesterase",$C6)),ISNUMBER(SEARCH("NMDA",$C6)),ISNUMBER(SEARCH("5-HT6",$C6)),ISNUMBER(SEARCH("H3",$C6)),ISNUMBER(SEARCH("Muscarinic",$C6)),ISNUMBER(SEARCH("Nicotinic",$C6)),ISNUMBER(SEARCH("ampakine",$C6)),ISNUMBER(SEARCH("antipsychotic",$C6)),ISNUMBER(SEARCH("symptomatic",$C6))),"Symptomatic","DMT")</f>
        <v/>
      </c>
      <c r="Z6">
        <f>IF(OR(ISNUMBER(SEARCH("5-HT6",$C6)),ISNUMBER(SEARCH("Histamine H3",$C6)),ISNUMBER(SEARCH("H3 receptor",$C6)),ISNUMBER(SEARCH("Muscarinic",$C6)),ISNUMBER(SEARCH("Nicotinic",$C6))),2,0)</f>
        <v/>
      </c>
    </row>
    <row r="7">
      <c r="A7" s="5" t="n">
        <v>1</v>
      </c>
      <c r="B7" s="6" t="inlineStr">
        <is>
          <t>Bapineuzumab</t>
        </is>
      </c>
      <c r="C7" s="7" t="inlineStr">
        <is>
          <t>Anti-Aβ mAb (primarily fibrillar/plaque)</t>
        </is>
      </c>
      <c r="D7" s="7" t="inlineStr">
        <is>
          <t>Mild-to-moderate AD</t>
        </is>
      </c>
      <c r="E7" s="7" t="inlineStr">
        <is>
          <t>Failed clinical endpoints despite biomarker changes; ARIA issues</t>
        </is>
      </c>
      <c r="F7" s="7" t="inlineStr">
        <is>
          <t>Efficacy (plus safety)</t>
        </is>
      </c>
      <c r="G7" s="7" t="inlineStr">
        <is>
          <t>Wrong species=1; Stage mismatch=2; Safety burden=2</t>
        </is>
      </c>
      <c r="H7" s="6" t="inlineStr">
        <is>
          <t>Medium</t>
        </is>
      </c>
      <c r="I7" s="7" t="n"/>
      <c r="J7" s="5" t="inlineStr">
        <is>
          <t>Unknown</t>
        </is>
      </c>
      <c r="K7" s="5" t="inlineStr">
        <is>
          <t>Unknown</t>
        </is>
      </c>
      <c r="L7" s="5" t="inlineStr">
        <is>
          <t>Yes</t>
        </is>
      </c>
      <c r="M7" s="8" t="inlineStr"/>
      <c r="N7" s="5" t="n">
        <v>0</v>
      </c>
      <c r="O7" s="5" t="n">
        <v>1</v>
      </c>
      <c r="P7" s="5" t="n">
        <v>2</v>
      </c>
      <c r="Q7" s="5" t="n">
        <v>0</v>
      </c>
      <c r="R7" s="5" t="n">
        <v>0</v>
      </c>
      <c r="S7" s="5" t="n">
        <v>2</v>
      </c>
      <c r="T7" s="5" t="n">
        <v>0</v>
      </c>
      <c r="U7" s="5" t="n">
        <v>0</v>
      </c>
      <c r="V7" s="6">
        <f>SUM(N7:U7)+Z7</f>
        <v/>
      </c>
      <c r="W7" s="6">
        <f>IF(V7&gt;=Params!$B$1,"High",IF(V7&gt;=Params!$B$2,"Medium","Low"))</f>
        <v/>
      </c>
      <c r="X7" s="6">
        <f>IF(W7="High",1,0)</f>
        <v/>
      </c>
      <c r="Y7">
        <f>IF(OR(ISNUMBER(SEARCH("Cholinesterase",$C7)),ISNUMBER(SEARCH("NMDA",$C7)),ISNUMBER(SEARCH("5-HT6",$C7)),ISNUMBER(SEARCH("H3",$C7)),ISNUMBER(SEARCH("Muscarinic",$C7)),ISNUMBER(SEARCH("Nicotinic",$C7)),ISNUMBER(SEARCH("ampakine",$C7)),ISNUMBER(SEARCH("antipsychotic",$C7)),ISNUMBER(SEARCH("symptomatic",$C7))),"Symptomatic","DMT")</f>
        <v/>
      </c>
      <c r="Z7">
        <f>IF(OR(ISNUMBER(SEARCH("5-HT6",$C7)),ISNUMBER(SEARCH("Histamine H3",$C7)),ISNUMBER(SEARCH("H3 receptor",$C7)),ISNUMBER(SEARCH("Muscarinic",$C7)),ISNUMBER(SEARCH("Nicotinic",$C7))),2,0)</f>
        <v/>
      </c>
    </row>
    <row r="8">
      <c r="A8" s="5" t="n">
        <v>1</v>
      </c>
      <c r="B8" s="6" t="inlineStr">
        <is>
          <t>Solanezumab</t>
        </is>
      </c>
      <c r="C8" s="7" t="inlineStr">
        <is>
          <t>Anti-Aβ mAb (soluble monomer)</t>
        </is>
      </c>
      <c r="D8" s="7" t="inlineStr">
        <is>
          <t>Mild AD</t>
        </is>
      </c>
      <c r="E8" s="7" t="inlineStr">
        <is>
          <t>Failed primary endpoint</t>
        </is>
      </c>
      <c r="F8" s="7" t="inlineStr">
        <is>
          <t>Efficacy</t>
        </is>
      </c>
      <c r="G8" s="7" t="inlineStr">
        <is>
          <t>Wrong species=2; Stage mismatch=1; Safety burden=2</t>
        </is>
      </c>
      <c r="H8" s="6" t="inlineStr">
        <is>
          <t>Medium</t>
        </is>
      </c>
      <c r="I8" s="7" t="n"/>
      <c r="J8" s="5" t="inlineStr">
        <is>
          <t>Unknown</t>
        </is>
      </c>
      <c r="K8" s="5" t="inlineStr">
        <is>
          <t>Unknown</t>
        </is>
      </c>
      <c r="L8" s="5" t="inlineStr">
        <is>
          <t>Yes</t>
        </is>
      </c>
      <c r="M8" s="8" t="inlineStr"/>
      <c r="N8" s="5" t="n">
        <v>0</v>
      </c>
      <c r="O8" s="5" t="n">
        <v>2</v>
      </c>
      <c r="P8" s="5" t="n">
        <v>1</v>
      </c>
      <c r="Q8" s="5" t="n">
        <v>0</v>
      </c>
      <c r="R8" s="5" t="n">
        <v>0</v>
      </c>
      <c r="S8" s="5" t="n">
        <v>2</v>
      </c>
      <c r="T8" s="5" t="n">
        <v>0</v>
      </c>
      <c r="U8" s="5" t="n">
        <v>0</v>
      </c>
      <c r="V8" s="6">
        <f>SUM(N8:U8)+Z8</f>
        <v/>
      </c>
      <c r="W8" s="6">
        <f>IF(V8&gt;=Params!$B$1,"High",IF(V8&gt;=Params!$B$2,"Medium","Low"))</f>
        <v/>
      </c>
      <c r="X8" s="6">
        <f>IF(W8="High",1,0)</f>
        <v/>
      </c>
      <c r="Y8">
        <f>IF(OR(ISNUMBER(SEARCH("Cholinesterase",$C8)),ISNUMBER(SEARCH("NMDA",$C8)),ISNUMBER(SEARCH("5-HT6",$C8)),ISNUMBER(SEARCH("H3",$C8)),ISNUMBER(SEARCH("Muscarinic",$C8)),ISNUMBER(SEARCH("Nicotinic",$C8)),ISNUMBER(SEARCH("ampakine",$C8)),ISNUMBER(SEARCH("antipsychotic",$C8)),ISNUMBER(SEARCH("symptomatic",$C8))),"Symptomatic","DMT")</f>
        <v/>
      </c>
      <c r="Z8">
        <f>IF(OR(ISNUMBER(SEARCH("5-HT6",$C8)),ISNUMBER(SEARCH("Histamine H3",$C8)),ISNUMBER(SEARCH("H3 receptor",$C8)),ISNUMBER(SEARCH("Muscarinic",$C8)),ISNUMBER(SEARCH("Nicotinic",$C8))),2,0)</f>
        <v/>
      </c>
    </row>
    <row r="9">
      <c r="A9" s="5" t="n">
        <v>1</v>
      </c>
      <c r="B9" s="6" t="inlineStr">
        <is>
          <t>Gantenerumab</t>
        </is>
      </c>
      <c r="C9" s="7" t="inlineStr">
        <is>
          <t>Anti-Aβ mAb (plaque/fibrillar)</t>
        </is>
      </c>
      <c r="D9" s="7" t="inlineStr">
        <is>
          <t>Early AD</t>
        </is>
      </c>
      <c r="E9" s="7" t="inlineStr">
        <is>
          <t>Phase 3 failed primary endpoints</t>
        </is>
      </c>
      <c r="F9" s="7" t="inlineStr">
        <is>
          <t>Efficacy</t>
        </is>
      </c>
      <c r="G9" s="7" t="inlineStr">
        <is>
          <t>Wrong species=1; Safety burden=2</t>
        </is>
      </c>
      <c r="H9" s="6" t="inlineStr">
        <is>
          <t>Low</t>
        </is>
      </c>
      <c r="I9" s="7" t="inlineStr">
        <is>
          <t>Useful 'hard case' because same general class as successful mAbs.</t>
        </is>
      </c>
      <c r="J9" s="5" t="inlineStr">
        <is>
          <t>Unknown</t>
        </is>
      </c>
      <c r="K9" s="5" t="inlineStr">
        <is>
          <t>Unknown</t>
        </is>
      </c>
      <c r="L9" s="5" t="inlineStr">
        <is>
          <t>Yes</t>
        </is>
      </c>
      <c r="M9" s="8" t="inlineStr"/>
      <c r="N9" s="5" t="n">
        <v>0</v>
      </c>
      <c r="O9" s="5" t="n">
        <v>1</v>
      </c>
      <c r="P9" s="5" t="n">
        <v>0</v>
      </c>
      <c r="Q9" s="5" t="n">
        <v>0</v>
      </c>
      <c r="R9" s="5" t="n">
        <v>0</v>
      </c>
      <c r="S9" s="5" t="n">
        <v>2</v>
      </c>
      <c r="T9" s="5" t="n">
        <v>0</v>
      </c>
      <c r="U9" s="5" t="n">
        <v>0</v>
      </c>
      <c r="V9" s="6">
        <f>SUM(N9:U9)+Z9</f>
        <v/>
      </c>
      <c r="W9" s="6">
        <f>IF(V9&gt;=Params!$B$1,"High",IF(V9&gt;=Params!$B$2,"Medium","Low"))</f>
        <v/>
      </c>
      <c r="X9" s="6">
        <f>IF(W9="High",1,0)</f>
        <v/>
      </c>
      <c r="Y9">
        <f>IF(OR(ISNUMBER(SEARCH("Cholinesterase",$C9)),ISNUMBER(SEARCH("NMDA",$C9)),ISNUMBER(SEARCH("5-HT6",$C9)),ISNUMBER(SEARCH("H3",$C9)),ISNUMBER(SEARCH("Muscarinic",$C9)),ISNUMBER(SEARCH("Nicotinic",$C9)),ISNUMBER(SEARCH("ampakine",$C9)),ISNUMBER(SEARCH("antipsychotic",$C9)),ISNUMBER(SEARCH("symptomatic",$C9))),"Symptomatic","DMT")</f>
        <v/>
      </c>
      <c r="Z9">
        <f>IF(OR(ISNUMBER(SEARCH("5-HT6",$C9)),ISNUMBER(SEARCH("Histamine H3",$C9)),ISNUMBER(SEARCH("H3 receptor",$C9)),ISNUMBER(SEARCH("Muscarinic",$C9)),ISNUMBER(SEARCH("Nicotinic",$C9))),2,0)</f>
        <v/>
      </c>
    </row>
    <row r="10">
      <c r="A10" s="5" t="n">
        <v>1</v>
      </c>
      <c r="B10" s="6" t="inlineStr">
        <is>
          <t>Semorinemab</t>
        </is>
      </c>
      <c r="C10" s="7" t="inlineStr">
        <is>
          <t>Anti-tau mAb (extracellular tau, N-terminus)</t>
        </is>
      </c>
      <c r="D10" s="7" t="inlineStr">
        <is>
          <t>Prodromal-to-mild AD</t>
        </is>
      </c>
      <c r="E10" s="7" t="inlineStr">
        <is>
          <t>Failed to show meaningful efficacy</t>
        </is>
      </c>
      <c r="F10" s="7" t="inlineStr">
        <is>
          <t>Efficacy</t>
        </is>
      </c>
      <c r="G10" s="7" t="inlineStr">
        <is>
          <t>Pleiotropy/toxicity=1; Wrong species=2; Human causality weak=1; Target engagement hard=1; Safety burden=1</t>
        </is>
      </c>
      <c r="H10" s="6" t="inlineStr">
        <is>
          <t>Medium</t>
        </is>
      </c>
      <c r="I10" s="7" t="inlineStr">
        <is>
          <t>Framework currently lists anti-tau immunotherapy as 'clinical trials' → may need downgrading.</t>
        </is>
      </c>
      <c r="J10" s="5" t="inlineStr">
        <is>
          <t>Unknown</t>
        </is>
      </c>
      <c r="K10" s="5" t="inlineStr">
        <is>
          <t>Unknown</t>
        </is>
      </c>
      <c r="L10" s="5" t="inlineStr">
        <is>
          <t>Unknown</t>
        </is>
      </c>
      <c r="M10" s="8" t="inlineStr"/>
      <c r="N10" s="5" t="n">
        <v>1</v>
      </c>
      <c r="O10" s="5" t="n">
        <v>2</v>
      </c>
      <c r="P10" s="5" t="n">
        <v>0</v>
      </c>
      <c r="Q10" s="5" t="n">
        <v>1</v>
      </c>
      <c r="R10" s="5" t="n">
        <v>1</v>
      </c>
      <c r="S10" s="5" t="n">
        <v>1</v>
      </c>
      <c r="T10" s="5" t="n">
        <v>0</v>
      </c>
      <c r="U10" s="5" t="n">
        <v>0</v>
      </c>
      <c r="V10" s="6">
        <f>SUM(N10:U10)+Z10</f>
        <v/>
      </c>
      <c r="W10" s="6">
        <f>IF(V10&gt;=Params!$B$1,"High",IF(V10&gt;=Params!$B$2,"Medium","Low"))</f>
        <v/>
      </c>
      <c r="X10" s="6">
        <f>IF(W10="High",1,0)</f>
        <v/>
      </c>
      <c r="Y10">
        <f>IF(OR(ISNUMBER(SEARCH("Cholinesterase",$C10)),ISNUMBER(SEARCH("NMDA",$C10)),ISNUMBER(SEARCH("5-HT6",$C10)),ISNUMBER(SEARCH("H3",$C10)),ISNUMBER(SEARCH("Muscarinic",$C10)),ISNUMBER(SEARCH("Nicotinic",$C10)),ISNUMBER(SEARCH("ampakine",$C10)),ISNUMBER(SEARCH("antipsychotic",$C10)),ISNUMBER(SEARCH("symptomatic",$C10))),"Symptomatic","DMT")</f>
        <v/>
      </c>
      <c r="Z10">
        <f>IF(OR(ISNUMBER(SEARCH("5-HT6",$C10)),ISNUMBER(SEARCH("Histamine H3",$C10)),ISNUMBER(SEARCH("H3 receptor",$C10)),ISNUMBER(SEARCH("Muscarinic",$C10)),ISNUMBER(SEARCH("Nicotinic",$C10))),2,0)</f>
        <v/>
      </c>
    </row>
    <row r="11">
      <c r="A11" s="5" t="n">
        <v>1</v>
      </c>
      <c r="B11" s="6" t="inlineStr">
        <is>
          <t>Gosuranemab</t>
        </is>
      </c>
      <c r="C11" s="7" t="inlineStr">
        <is>
          <t>Anti-tau mAb (N-terminus)</t>
        </is>
      </c>
      <c r="D11" s="7" t="inlineStr">
        <is>
          <t>MCI / mild AD</t>
        </is>
      </c>
      <c r="E11" s="7" t="inlineStr">
        <is>
          <t>Did not meet primary endpoint</t>
        </is>
      </c>
      <c r="F11" s="7" t="inlineStr">
        <is>
          <t>Efficacy</t>
        </is>
      </c>
      <c r="G11" s="7" t="inlineStr">
        <is>
          <t>Pleiotropy/toxicity=1; Wrong species=2; Human causality weak=1; Target engagement hard=1; Safety burden=1</t>
        </is>
      </c>
      <c r="H11" s="6" t="inlineStr">
        <is>
          <t>Medium</t>
        </is>
      </c>
      <c r="I11" s="7" t="n"/>
      <c r="J11" s="5" t="inlineStr">
        <is>
          <t>Unknown</t>
        </is>
      </c>
      <c r="K11" s="5" t="inlineStr">
        <is>
          <t>Unknown</t>
        </is>
      </c>
      <c r="L11" s="5" t="inlineStr">
        <is>
          <t>Unknown</t>
        </is>
      </c>
      <c r="M11" s="8" t="inlineStr"/>
      <c r="N11" s="5" t="n">
        <v>1</v>
      </c>
      <c r="O11" s="5" t="n">
        <v>2</v>
      </c>
      <c r="P11" s="5" t="n">
        <v>0</v>
      </c>
      <c r="Q11" s="5" t="n">
        <v>1</v>
      </c>
      <c r="R11" s="5" t="n">
        <v>1</v>
      </c>
      <c r="S11" s="5" t="n">
        <v>1</v>
      </c>
      <c r="T11" s="5" t="n">
        <v>0</v>
      </c>
      <c r="U11" s="5" t="n">
        <v>0</v>
      </c>
      <c r="V11" s="6">
        <f>SUM(N11:U11)+Z11</f>
        <v/>
      </c>
      <c r="W11" s="6">
        <f>IF(V11&gt;=Params!$B$1,"High",IF(V11&gt;=Params!$B$2,"Medium","Low"))</f>
        <v/>
      </c>
      <c r="X11" s="6">
        <f>IF(W11="High",1,0)</f>
        <v/>
      </c>
      <c r="Y11">
        <f>IF(OR(ISNUMBER(SEARCH("Cholinesterase",$C11)),ISNUMBER(SEARCH("NMDA",$C11)),ISNUMBER(SEARCH("5-HT6",$C11)),ISNUMBER(SEARCH("H3",$C11)),ISNUMBER(SEARCH("Muscarinic",$C11)),ISNUMBER(SEARCH("Nicotinic",$C11)),ISNUMBER(SEARCH("ampakine",$C11)),ISNUMBER(SEARCH("antipsychotic",$C11)),ISNUMBER(SEARCH("symptomatic",$C11))),"Symptomatic","DMT")</f>
        <v/>
      </c>
      <c r="Z11">
        <f>IF(OR(ISNUMBER(SEARCH("5-HT6",$C11)),ISNUMBER(SEARCH("Histamine H3",$C11)),ISNUMBER(SEARCH("H3 receptor",$C11)),ISNUMBER(SEARCH("Muscarinic",$C11)),ISNUMBER(SEARCH("Nicotinic",$C11))),2,0)</f>
        <v/>
      </c>
    </row>
    <row r="12">
      <c r="A12" s="5" t="n">
        <v>1</v>
      </c>
      <c r="B12" s="6" t="inlineStr">
        <is>
          <t>Tilavonemab (ABBV-8E12)</t>
        </is>
      </c>
      <c r="C12" s="7" t="inlineStr">
        <is>
          <t>Anti-tau mAb (N-terminus)</t>
        </is>
      </c>
      <c r="D12" s="7" t="inlineStr">
        <is>
          <t>Early AD</t>
        </is>
      </c>
      <c r="E12" s="7" t="inlineStr">
        <is>
          <t>No efficacy; development not warranted</t>
        </is>
      </c>
      <c r="F12" s="7" t="inlineStr">
        <is>
          <t>Efficacy</t>
        </is>
      </c>
      <c r="G12" s="7" t="inlineStr">
        <is>
          <t>Pleiotropy/toxicity=1; Wrong species=2; Human causality weak=1; Target engagement hard=1; Safety burden=1</t>
        </is>
      </c>
      <c r="H12" s="6" t="inlineStr">
        <is>
          <t>Medium</t>
        </is>
      </c>
      <c r="I12" s="7" t="n"/>
      <c r="J12" s="5" t="inlineStr">
        <is>
          <t>Unknown</t>
        </is>
      </c>
      <c r="K12" s="5" t="inlineStr">
        <is>
          <t>Unknown</t>
        </is>
      </c>
      <c r="L12" s="5" t="inlineStr">
        <is>
          <t>Unknown</t>
        </is>
      </c>
      <c r="M12" s="8" t="inlineStr"/>
      <c r="N12" s="5" t="n">
        <v>1</v>
      </c>
      <c r="O12" s="5" t="n">
        <v>2</v>
      </c>
      <c r="P12" s="5" t="n">
        <v>0</v>
      </c>
      <c r="Q12" s="5" t="n">
        <v>1</v>
      </c>
      <c r="R12" s="5" t="n">
        <v>1</v>
      </c>
      <c r="S12" s="5" t="n">
        <v>1</v>
      </c>
      <c r="T12" s="5" t="n">
        <v>0</v>
      </c>
      <c r="U12" s="5" t="n">
        <v>0</v>
      </c>
      <c r="V12" s="6">
        <f>SUM(N12:U12)+Z12</f>
        <v/>
      </c>
      <c r="W12" s="6">
        <f>IF(V12&gt;=Params!$B$1,"High",IF(V12&gt;=Params!$B$2,"Medium","Low"))</f>
        <v/>
      </c>
      <c r="X12" s="6">
        <f>IF(W12="High",1,0)</f>
        <v/>
      </c>
      <c r="Y12">
        <f>IF(OR(ISNUMBER(SEARCH("Cholinesterase",$C12)),ISNUMBER(SEARCH("NMDA",$C12)),ISNUMBER(SEARCH("5-HT6",$C12)),ISNUMBER(SEARCH("H3",$C12)),ISNUMBER(SEARCH("Muscarinic",$C12)),ISNUMBER(SEARCH("Nicotinic",$C12)),ISNUMBER(SEARCH("ampakine",$C12)),ISNUMBER(SEARCH("antipsychotic",$C12)),ISNUMBER(SEARCH("symptomatic",$C12))),"Symptomatic","DMT")</f>
        <v/>
      </c>
      <c r="Z12">
        <f>IF(OR(ISNUMBER(SEARCH("5-HT6",$C12)),ISNUMBER(SEARCH("Histamine H3",$C12)),ISNUMBER(SEARCH("H3 receptor",$C12)),ISNUMBER(SEARCH("Muscarinic",$C12)),ISNUMBER(SEARCH("Nicotinic",$C12))),2,0)</f>
        <v/>
      </c>
    </row>
    <row r="13">
      <c r="A13" s="5" t="n">
        <v>0</v>
      </c>
      <c r="B13" s="6" t="inlineStr">
        <is>
          <t>Lecanemab (Leqembi)</t>
        </is>
      </c>
      <c r="C13" s="7" t="inlineStr">
        <is>
          <t>Anti-Aβ mAb (protofibrils/soluble aggregates)</t>
        </is>
      </c>
      <c r="D13" s="7" t="inlineStr">
        <is>
          <t>Early AD (MCI / mild dementia with amyloid)</t>
        </is>
      </c>
      <c r="E13" s="7" t="inlineStr">
        <is>
          <t>Positive (modest slowing); approved in multiple regions</t>
        </is>
      </c>
      <c r="F13" s="7" t="inlineStr">
        <is>
          <t>—</t>
        </is>
      </c>
      <c r="G13" s="7" t="inlineStr">
        <is>
          <t>Safety burden=2</t>
        </is>
      </c>
      <c r="H13" s="6" t="inlineStr">
        <is>
          <t>Low</t>
        </is>
      </c>
      <c r="I13" s="7" t="n"/>
      <c r="J13" s="5" t="inlineStr">
        <is>
          <t>Unknown</t>
        </is>
      </c>
      <c r="K13" s="5" t="inlineStr">
        <is>
          <t>Unknown</t>
        </is>
      </c>
      <c r="L13" s="5" t="inlineStr">
        <is>
          <t>Yes</t>
        </is>
      </c>
      <c r="M13" s="8" t="inlineStr"/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2</v>
      </c>
      <c r="T13" s="5" t="n">
        <v>0</v>
      </c>
      <c r="U13" s="5" t="n">
        <v>0</v>
      </c>
      <c r="V13" s="6">
        <f>SUM(N13:U13)+Z13</f>
        <v/>
      </c>
      <c r="W13" s="6">
        <f>IF(V13&gt;=Params!$B$1,"High",IF(V13&gt;=Params!$B$2,"Medium","Low"))</f>
        <v/>
      </c>
      <c r="X13" s="6">
        <f>IF(W13="High",1,0)</f>
        <v/>
      </c>
      <c r="Y13">
        <f>IF(OR(ISNUMBER(SEARCH("Cholinesterase",$C13)),ISNUMBER(SEARCH("NMDA",$C13)),ISNUMBER(SEARCH("5-HT6",$C13)),ISNUMBER(SEARCH("H3",$C13)),ISNUMBER(SEARCH("Muscarinic",$C13)),ISNUMBER(SEARCH("Nicotinic",$C13)),ISNUMBER(SEARCH("ampakine",$C13)),ISNUMBER(SEARCH("antipsychotic",$C13)),ISNUMBER(SEARCH("symptomatic",$C13))),"Symptomatic","DMT")</f>
        <v/>
      </c>
      <c r="Z13">
        <f>IF(OR(ISNUMBER(SEARCH("5-HT6",$C13)),ISNUMBER(SEARCH("Histamine H3",$C13)),ISNUMBER(SEARCH("H3 receptor",$C13)),ISNUMBER(SEARCH("Muscarinic",$C13)),ISNUMBER(SEARCH("Nicotinic",$C13))),2,0)</f>
        <v/>
      </c>
    </row>
    <row r="14">
      <c r="A14" s="5" t="n">
        <v>0</v>
      </c>
      <c r="B14" s="6" t="inlineStr">
        <is>
          <t>Donanemab (Kisunla)</t>
        </is>
      </c>
      <c r="C14" s="7" t="inlineStr">
        <is>
          <t>Anti-Aβ mAb (pyroglutamate Aβ in plaques)</t>
        </is>
      </c>
      <c r="D14" s="7" t="inlineStr">
        <is>
          <t>Early symptomatic AD</t>
        </is>
      </c>
      <c r="E14" s="7" t="inlineStr">
        <is>
          <t>Approved (benefit modest; ARIA risk)</t>
        </is>
      </c>
      <c r="F14" s="7" t="inlineStr">
        <is>
          <t>—</t>
        </is>
      </c>
      <c r="G14" s="7" t="inlineStr">
        <is>
          <t>Wrong species=1; Safety burden=2</t>
        </is>
      </c>
      <c r="H14" s="6" t="inlineStr">
        <is>
          <t>Low</t>
        </is>
      </c>
      <c r="I14" s="7" t="n"/>
      <c r="J14" s="5" t="inlineStr">
        <is>
          <t>Unknown</t>
        </is>
      </c>
      <c r="K14" s="5" t="inlineStr">
        <is>
          <t>Unknown</t>
        </is>
      </c>
      <c r="L14" s="5" t="inlineStr">
        <is>
          <t>Yes</t>
        </is>
      </c>
      <c r="M14" s="8" t="inlineStr"/>
      <c r="N14" s="5" t="n">
        <v>0</v>
      </c>
      <c r="O14" s="5" t="n">
        <v>1</v>
      </c>
      <c r="P14" s="5" t="n">
        <v>0</v>
      </c>
      <c r="Q14" s="5" t="n">
        <v>0</v>
      </c>
      <c r="R14" s="5" t="n">
        <v>0</v>
      </c>
      <c r="S14" s="5" t="n">
        <v>2</v>
      </c>
      <c r="T14" s="5" t="n">
        <v>0</v>
      </c>
      <c r="U14" s="5" t="n">
        <v>0</v>
      </c>
      <c r="V14" s="6">
        <f>SUM(N14:U14)+Z14</f>
        <v/>
      </c>
      <c r="W14" s="6">
        <f>IF(V14&gt;=Params!$B$1,"High",IF(V14&gt;=Params!$B$2,"Medium","Low"))</f>
        <v/>
      </c>
      <c r="X14" s="6">
        <f>IF(W14="High",1,0)</f>
        <v/>
      </c>
      <c r="Y14">
        <f>IF(OR(ISNUMBER(SEARCH("Cholinesterase",$C14)),ISNUMBER(SEARCH("NMDA",$C14)),ISNUMBER(SEARCH("5-HT6",$C14)),ISNUMBER(SEARCH("H3",$C14)),ISNUMBER(SEARCH("Muscarinic",$C14)),ISNUMBER(SEARCH("Nicotinic",$C14)),ISNUMBER(SEARCH("ampakine",$C14)),ISNUMBER(SEARCH("antipsychotic",$C14)),ISNUMBER(SEARCH("symptomatic",$C14))),"Symptomatic","DMT")</f>
        <v/>
      </c>
      <c r="Z14">
        <f>IF(OR(ISNUMBER(SEARCH("5-HT6",$C14)),ISNUMBER(SEARCH("Histamine H3",$C14)),ISNUMBER(SEARCH("H3 receptor",$C14)),ISNUMBER(SEARCH("Muscarinic",$C14)),ISNUMBER(SEARCH("Nicotinic",$C14))),2,0)</f>
        <v/>
      </c>
    </row>
    <row r="15">
      <c r="A15" s="5" t="n">
        <v>0</v>
      </c>
      <c r="B15" s="6" t="inlineStr">
        <is>
          <t>Tacrine (Cognex)</t>
        </is>
      </c>
      <c r="C15" s="7" t="inlineStr">
        <is>
          <t>Cholinesterase inhibitor (AChE)</t>
        </is>
      </c>
      <c r="D15" s="7" t="inlineStr">
        <is>
          <t>Mild–moderate AD dementia</t>
        </is>
      </c>
      <c r="E15" s="7" t="inlineStr">
        <is>
          <t>Approved (later withdrawn due to hepatotoxicity)</t>
        </is>
      </c>
      <c r="F15" s="7" t="inlineStr"/>
      <c r="G15" s="7" t="inlineStr">
        <is>
          <t>Pleiotropy/toxicity=1; Safety burden=1</t>
        </is>
      </c>
      <c r="H15" s="6" t="inlineStr">
        <is>
          <t>Low</t>
        </is>
      </c>
      <c r="I15" s="7" t="inlineStr"/>
      <c r="J15" s="5" t="inlineStr">
        <is>
          <t>Unknown</t>
        </is>
      </c>
      <c r="K15" s="5" t="inlineStr">
        <is>
          <t>Unknown</t>
        </is>
      </c>
      <c r="L15" s="5" t="inlineStr">
        <is>
          <t>Unknown</t>
        </is>
      </c>
      <c r="M15" s="8" t="n"/>
      <c r="N15" s="5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1</v>
      </c>
      <c r="T15" s="5" t="n">
        <v>0</v>
      </c>
      <c r="U15" s="5" t="n">
        <v>0</v>
      </c>
      <c r="V15" s="6">
        <f>SUM(N15:U15)+Z15</f>
        <v/>
      </c>
      <c r="W15" s="6">
        <f>IF(V15&lt;=Params!$B$2,"Low",IF(V15&lt;=Params!$B$3,"Medium","High"))</f>
        <v/>
      </c>
      <c r="X15" s="6">
        <f>IF(W15="High",1,0)</f>
        <v/>
      </c>
      <c r="Y15">
        <f>IF(OR(ISNUMBER(SEARCH("Cholinesterase",$C15)),ISNUMBER(SEARCH("NMDA",$C15)),ISNUMBER(SEARCH("5-HT6",$C15)),ISNUMBER(SEARCH("H3",$C15)),ISNUMBER(SEARCH("Muscarinic",$C15)),ISNUMBER(SEARCH("Nicotinic",$C15)),ISNUMBER(SEARCH("ampakine",$C15)),ISNUMBER(SEARCH("antipsychotic",$C15)),ISNUMBER(SEARCH("symptomatic",$C15))),"Symptomatic","DMT")</f>
        <v/>
      </c>
      <c r="Z15">
        <f>IF(OR(ISNUMBER(SEARCH("5-HT6",$C15)),ISNUMBER(SEARCH("Histamine H3",$C15)),ISNUMBER(SEARCH("H3 receptor",$C15)),ISNUMBER(SEARCH("Muscarinic",$C15)),ISNUMBER(SEARCH("Nicotinic",$C15))),2,0)</f>
        <v/>
      </c>
    </row>
    <row r="16">
      <c r="A16" s="5" t="n">
        <v>0</v>
      </c>
      <c r="B16" s="6" t="inlineStr">
        <is>
          <t>Donepezil (Aricept)</t>
        </is>
      </c>
      <c r="C16" s="7" t="inlineStr">
        <is>
          <t>Cholinesterase inhibitor (AChE)</t>
        </is>
      </c>
      <c r="D16" s="7" t="inlineStr">
        <is>
          <t>Mild–severe AD dementia</t>
        </is>
      </c>
      <c r="E16" s="7" t="inlineStr">
        <is>
          <t>Approved</t>
        </is>
      </c>
      <c r="F16" s="7" t="inlineStr"/>
      <c r="G16" s="7" t="inlineStr">
        <is>
          <t>Pleiotropy/toxicity=1; Safety burden=1</t>
        </is>
      </c>
      <c r="H16" s="6" t="inlineStr">
        <is>
          <t>Low</t>
        </is>
      </c>
      <c r="I16" s="7" t="inlineStr"/>
      <c r="J16" s="5" t="inlineStr">
        <is>
          <t>Unknown</t>
        </is>
      </c>
      <c r="K16" s="5" t="inlineStr">
        <is>
          <t>Unknown</t>
        </is>
      </c>
      <c r="L16" s="5" t="inlineStr">
        <is>
          <t>Unknown</t>
        </is>
      </c>
      <c r="M16" s="8" t="n"/>
      <c r="N16" s="5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1</v>
      </c>
      <c r="T16" s="5" t="n">
        <v>0</v>
      </c>
      <c r="U16" s="5" t="n">
        <v>0</v>
      </c>
      <c r="V16" s="6">
        <f>SUM(N16:U16)+Z16</f>
        <v/>
      </c>
      <c r="W16" s="6">
        <f>IF(V16&lt;=Params!$B$2,"Low",IF(V16&lt;=Params!$B$3,"Medium","High"))</f>
        <v/>
      </c>
      <c r="X16" s="6">
        <f>IF(W16="High",1,0)</f>
        <v/>
      </c>
      <c r="Y16">
        <f>IF(OR(ISNUMBER(SEARCH("Cholinesterase",$C16)),ISNUMBER(SEARCH("NMDA",$C16)),ISNUMBER(SEARCH("5-HT6",$C16)),ISNUMBER(SEARCH("H3",$C16)),ISNUMBER(SEARCH("Muscarinic",$C16)),ISNUMBER(SEARCH("Nicotinic",$C16)),ISNUMBER(SEARCH("ampakine",$C16)),ISNUMBER(SEARCH("antipsychotic",$C16)),ISNUMBER(SEARCH("symptomatic",$C16))),"Symptomatic","DMT")</f>
        <v/>
      </c>
      <c r="Z16">
        <f>IF(OR(ISNUMBER(SEARCH("5-HT6",$C16)),ISNUMBER(SEARCH("Histamine H3",$C16)),ISNUMBER(SEARCH("H3 receptor",$C16)),ISNUMBER(SEARCH("Muscarinic",$C16)),ISNUMBER(SEARCH("Nicotinic",$C16))),2,0)</f>
        <v/>
      </c>
    </row>
    <row r="17">
      <c r="A17" s="5" t="n">
        <v>0</v>
      </c>
      <c r="B17" s="6" t="inlineStr">
        <is>
          <t>Rivastigmine (Exelon)</t>
        </is>
      </c>
      <c r="C17" s="7" t="inlineStr">
        <is>
          <t>Cholinesterase inhibitor (AChE/BuChE)</t>
        </is>
      </c>
      <c r="D17" s="7" t="inlineStr">
        <is>
          <t>Mild–moderate AD dementia</t>
        </is>
      </c>
      <c r="E17" s="7" t="inlineStr">
        <is>
          <t>Approved</t>
        </is>
      </c>
      <c r="F17" s="7" t="inlineStr"/>
      <c r="G17" s="7" t="inlineStr">
        <is>
          <t>Pleiotropy/toxicity=1; Safety burden=1</t>
        </is>
      </c>
      <c r="H17" s="6" t="inlineStr">
        <is>
          <t>Low</t>
        </is>
      </c>
      <c r="I17" s="7" t="inlineStr"/>
      <c r="J17" s="5" t="inlineStr">
        <is>
          <t>Unknown</t>
        </is>
      </c>
      <c r="K17" s="5" t="inlineStr">
        <is>
          <t>Unknown</t>
        </is>
      </c>
      <c r="L17" s="5" t="inlineStr">
        <is>
          <t>Unknown</t>
        </is>
      </c>
      <c r="M17" s="8" t="n"/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  <c r="U17" s="5" t="n">
        <v>0</v>
      </c>
      <c r="V17" s="6">
        <f>SUM(N17:U17)+Z17</f>
        <v/>
      </c>
      <c r="W17" s="6">
        <f>IF(V17&lt;=Params!$B$2,"Low",IF(V17&lt;=Params!$B$3,"Medium","High"))</f>
        <v/>
      </c>
      <c r="X17" s="6">
        <f>IF(W17="High",1,0)</f>
        <v/>
      </c>
      <c r="Y17">
        <f>IF(OR(ISNUMBER(SEARCH("Cholinesterase",$C17)),ISNUMBER(SEARCH("NMDA",$C17)),ISNUMBER(SEARCH("5-HT6",$C17)),ISNUMBER(SEARCH("H3",$C17)),ISNUMBER(SEARCH("Muscarinic",$C17)),ISNUMBER(SEARCH("Nicotinic",$C17)),ISNUMBER(SEARCH("ampakine",$C17)),ISNUMBER(SEARCH("antipsychotic",$C17)),ISNUMBER(SEARCH("symptomatic",$C17))),"Symptomatic","DMT")</f>
        <v/>
      </c>
      <c r="Z17">
        <f>IF(OR(ISNUMBER(SEARCH("5-HT6",$C17)),ISNUMBER(SEARCH("Histamine H3",$C17)),ISNUMBER(SEARCH("H3 receptor",$C17)),ISNUMBER(SEARCH("Muscarinic",$C17)),ISNUMBER(SEARCH("Nicotinic",$C17))),2,0)</f>
        <v/>
      </c>
    </row>
    <row r="18">
      <c r="A18" s="5" t="n">
        <v>0</v>
      </c>
      <c r="B18" s="6" t="inlineStr">
        <is>
          <t>Galantamine (Razadyne)</t>
        </is>
      </c>
      <c r="C18" s="7" t="inlineStr">
        <is>
          <t>Cholinesterase inhibitor (AChE)</t>
        </is>
      </c>
      <c r="D18" s="7" t="inlineStr">
        <is>
          <t>Mild–moderate AD dementia</t>
        </is>
      </c>
      <c r="E18" s="7" t="inlineStr">
        <is>
          <t>Approved</t>
        </is>
      </c>
      <c r="F18" s="7" t="inlineStr"/>
      <c r="G18" s="7" t="inlineStr">
        <is>
          <t>Pleiotropy/toxicity=1; Safety burden=1</t>
        </is>
      </c>
      <c r="H18" s="6" t="inlineStr">
        <is>
          <t>Low</t>
        </is>
      </c>
      <c r="I18" s="7" t="inlineStr"/>
      <c r="J18" s="5" t="inlineStr">
        <is>
          <t>Unknown</t>
        </is>
      </c>
      <c r="K18" s="5" t="inlineStr">
        <is>
          <t>Unknown</t>
        </is>
      </c>
      <c r="L18" s="5" t="inlineStr">
        <is>
          <t>Unknown</t>
        </is>
      </c>
      <c r="M18" s="8" t="n"/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1</v>
      </c>
      <c r="T18" s="5" t="n">
        <v>0</v>
      </c>
      <c r="U18" s="5" t="n">
        <v>0</v>
      </c>
      <c r="V18" s="6">
        <f>SUM(N18:U18)+Z18</f>
        <v/>
      </c>
      <c r="W18" s="6">
        <f>IF(V18&lt;=Params!$B$2,"Low",IF(V18&lt;=Params!$B$3,"Medium","High"))</f>
        <v/>
      </c>
      <c r="X18" s="6">
        <f>IF(W18="High",1,0)</f>
        <v/>
      </c>
      <c r="Y18">
        <f>IF(OR(ISNUMBER(SEARCH("Cholinesterase",$C18)),ISNUMBER(SEARCH("NMDA",$C18)),ISNUMBER(SEARCH("5-HT6",$C18)),ISNUMBER(SEARCH("H3",$C18)),ISNUMBER(SEARCH("Muscarinic",$C18)),ISNUMBER(SEARCH("Nicotinic",$C18)),ISNUMBER(SEARCH("ampakine",$C18)),ISNUMBER(SEARCH("antipsychotic",$C18)),ISNUMBER(SEARCH("symptomatic",$C18))),"Symptomatic","DMT")</f>
        <v/>
      </c>
      <c r="Z18">
        <f>IF(OR(ISNUMBER(SEARCH("5-HT6",$C18)),ISNUMBER(SEARCH("Histamine H3",$C18)),ISNUMBER(SEARCH("H3 receptor",$C18)),ISNUMBER(SEARCH("Muscarinic",$C18)),ISNUMBER(SEARCH("Nicotinic",$C18))),2,0)</f>
        <v/>
      </c>
    </row>
    <row r="19">
      <c r="A19" s="5" t="n">
        <v>0</v>
      </c>
      <c r="B19" s="6" t="inlineStr">
        <is>
          <t>Memantine (Namenda)</t>
        </is>
      </c>
      <c r="C19" s="7" t="inlineStr">
        <is>
          <t>NMDA receptor antagonist</t>
        </is>
      </c>
      <c r="D19" s="7" t="inlineStr">
        <is>
          <t>Moderate–severe AD dementia</t>
        </is>
      </c>
      <c r="E19" s="7" t="inlineStr">
        <is>
          <t>Approved</t>
        </is>
      </c>
      <c r="F19" s="7" t="inlineStr"/>
      <c r="G19" s="7" t="inlineStr">
        <is>
          <t>Pleiotropy/toxicity=1; Target engagement hard=1; Safety burden=1</t>
        </is>
      </c>
      <c r="H19" s="6" t="inlineStr">
        <is>
          <t>Low</t>
        </is>
      </c>
      <c r="I19" s="7" t="inlineStr"/>
      <c r="J19" s="5" t="inlineStr">
        <is>
          <t>Unknown</t>
        </is>
      </c>
      <c r="K19" s="5" t="inlineStr">
        <is>
          <t>Unknown</t>
        </is>
      </c>
      <c r="L19" s="5" t="inlineStr">
        <is>
          <t>Unknown</t>
        </is>
      </c>
      <c r="M19" s="8" t="n"/>
      <c r="N19" s="5" t="n">
        <v>1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1</v>
      </c>
      <c r="T19" s="5" t="n">
        <v>0</v>
      </c>
      <c r="U19" s="5" t="n">
        <v>0</v>
      </c>
      <c r="V19" s="6">
        <f>SUM(N19:U19)+Z19</f>
        <v/>
      </c>
      <c r="W19" s="6">
        <f>IF(V19&lt;=Params!$B$2,"Low",IF(V19&lt;=Params!$B$3,"Medium","High"))</f>
        <v/>
      </c>
      <c r="X19" s="6">
        <f>IF(W19="High",1,0)</f>
        <v/>
      </c>
      <c r="Y19">
        <f>IF(OR(ISNUMBER(SEARCH("Cholinesterase",$C19)),ISNUMBER(SEARCH("NMDA",$C19)),ISNUMBER(SEARCH("5-HT6",$C19)),ISNUMBER(SEARCH("H3",$C19)),ISNUMBER(SEARCH("Muscarinic",$C19)),ISNUMBER(SEARCH("Nicotinic",$C19)),ISNUMBER(SEARCH("ampakine",$C19)),ISNUMBER(SEARCH("antipsychotic",$C19)),ISNUMBER(SEARCH("symptomatic",$C19))),"Symptomatic","DMT")</f>
        <v/>
      </c>
      <c r="Z19">
        <f>IF(OR(ISNUMBER(SEARCH("5-HT6",$C19)),ISNUMBER(SEARCH("Histamine H3",$C19)),ISNUMBER(SEARCH("H3 receptor",$C19)),ISNUMBER(SEARCH("Muscarinic",$C19)),ISNUMBER(SEARCH("Nicotinic",$C19))),2,0)</f>
        <v/>
      </c>
    </row>
    <row r="20">
      <c r="A20" s="5" t="n">
        <v>0</v>
      </c>
      <c r="B20" s="6" t="inlineStr">
        <is>
          <t>Namzaric (donepezil + memantine)</t>
        </is>
      </c>
      <c r="C20" s="7" t="inlineStr">
        <is>
          <t>Combination symptomatic therapy</t>
        </is>
      </c>
      <c r="D20" s="7" t="inlineStr">
        <is>
          <t>Moderate–severe AD dementia</t>
        </is>
      </c>
      <c r="E20" s="7" t="inlineStr">
        <is>
          <t>Approved</t>
        </is>
      </c>
      <c r="F20" s="7" t="inlineStr"/>
      <c r="G20" s="7" t="inlineStr">
        <is>
          <t>Pleiotropy/toxicity=1; Safety burden=1</t>
        </is>
      </c>
      <c r="H20" s="6" t="inlineStr">
        <is>
          <t>Low</t>
        </is>
      </c>
      <c r="I20" s="7" t="inlineStr"/>
      <c r="J20" s="5" t="inlineStr">
        <is>
          <t>Unknown</t>
        </is>
      </c>
      <c r="K20" s="5" t="inlineStr">
        <is>
          <t>Unknown</t>
        </is>
      </c>
      <c r="L20" s="5" t="inlineStr">
        <is>
          <t>Unknown</t>
        </is>
      </c>
      <c r="M20" s="8" t="n"/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1</v>
      </c>
      <c r="T20" s="5" t="n">
        <v>0</v>
      </c>
      <c r="U20" s="5" t="n">
        <v>0</v>
      </c>
      <c r="V20" s="6">
        <f>SUM(N20:U20)+Z20</f>
        <v/>
      </c>
      <c r="W20" s="6">
        <f>IF(V20&lt;=Params!$B$2,"Low",IF(V20&lt;=Params!$B$3,"Medium","High"))</f>
        <v/>
      </c>
      <c r="X20" s="6">
        <f>IF(W20="High",1,0)</f>
        <v/>
      </c>
      <c r="Y20">
        <f>IF(OR(ISNUMBER(SEARCH("Cholinesterase",$C20)),ISNUMBER(SEARCH("NMDA",$C20)),ISNUMBER(SEARCH("5-HT6",$C20)),ISNUMBER(SEARCH("H3",$C20)),ISNUMBER(SEARCH("Muscarinic",$C20)),ISNUMBER(SEARCH("Nicotinic",$C20)),ISNUMBER(SEARCH("ampakine",$C20)),ISNUMBER(SEARCH("antipsychotic",$C20)),ISNUMBER(SEARCH("symptomatic",$C20))),"Symptomatic","DMT")</f>
        <v/>
      </c>
      <c r="Z20">
        <f>IF(OR(ISNUMBER(SEARCH("5-HT6",$C20)),ISNUMBER(SEARCH("Histamine H3",$C20)),ISNUMBER(SEARCH("H3 receptor",$C20)),ISNUMBER(SEARCH("Muscarinic",$C20)),ISNUMBER(SEARCH("Nicotinic",$C20))),2,0)</f>
        <v/>
      </c>
    </row>
    <row r="21">
      <c r="A21" s="5" t="n">
        <v>0</v>
      </c>
      <c r="B21" s="6" t="inlineStr">
        <is>
          <t>Aducanumab (Aduhelm)</t>
        </is>
      </c>
      <c r="C21" s="7" t="inlineStr">
        <is>
          <t>Anti-Aβ monoclonal antibody</t>
        </is>
      </c>
      <c r="D21" s="7" t="inlineStr">
        <is>
          <t>Early AD / MCI due to AD</t>
        </is>
      </c>
      <c r="E21" s="7" t="inlineStr">
        <is>
          <t>FDA accelerated approval (2021); confirmatory trial required</t>
        </is>
      </c>
      <c r="F21" s="7" t="inlineStr"/>
      <c r="G21" s="7" t="inlineStr">
        <is>
          <t>Wrong species=1; Safety burden=2</t>
        </is>
      </c>
      <c r="H21" s="6" t="inlineStr">
        <is>
          <t>Low</t>
        </is>
      </c>
      <c r="I21" s="7" t="inlineStr"/>
      <c r="J21" s="5" t="inlineStr">
        <is>
          <t>Unknown</t>
        </is>
      </c>
      <c r="K21" s="5" t="inlineStr">
        <is>
          <t>Unknown</t>
        </is>
      </c>
      <c r="L21" s="5" t="inlineStr">
        <is>
          <t>Yes</t>
        </is>
      </c>
      <c r="M21" s="8" t="n"/>
      <c r="N21" s="5" t="n">
        <v>0</v>
      </c>
      <c r="O21" s="5" t="n">
        <v>1</v>
      </c>
      <c r="P21" s="5" t="n">
        <v>0</v>
      </c>
      <c r="Q21" s="5" t="n">
        <v>0</v>
      </c>
      <c r="R21" s="5" t="n">
        <v>0</v>
      </c>
      <c r="S21" s="5" t="n">
        <v>2</v>
      </c>
      <c r="T21" s="5" t="n">
        <v>0</v>
      </c>
      <c r="U21" s="5" t="n">
        <v>0</v>
      </c>
      <c r="V21" s="6">
        <f>SUM(N21:U21)+Z21</f>
        <v/>
      </c>
      <c r="W21" s="6">
        <f>IF(V21&lt;=Params!$B$2,"Low",IF(V21&lt;=Params!$B$3,"Medium","High"))</f>
        <v/>
      </c>
      <c r="X21" s="6">
        <f>IF(W21="High",1,0)</f>
        <v/>
      </c>
      <c r="Y21">
        <f>IF(OR(ISNUMBER(SEARCH("Cholinesterase",$C21)),ISNUMBER(SEARCH("NMDA",$C21)),ISNUMBER(SEARCH("5-HT6",$C21)),ISNUMBER(SEARCH("H3",$C21)),ISNUMBER(SEARCH("Muscarinic",$C21)),ISNUMBER(SEARCH("Nicotinic",$C21)),ISNUMBER(SEARCH("ampakine",$C21)),ISNUMBER(SEARCH("antipsychotic",$C21)),ISNUMBER(SEARCH("symptomatic",$C21))),"Symptomatic","DMT")</f>
        <v/>
      </c>
      <c r="Z21">
        <f>IF(OR(ISNUMBER(SEARCH("5-HT6",$C21)),ISNUMBER(SEARCH("Histamine H3",$C21)),ISNUMBER(SEARCH("H3 receptor",$C21)),ISNUMBER(SEARCH("Muscarinic",$C21)),ISNUMBER(SEARCH("Nicotinic",$C21))),2,0)</f>
        <v/>
      </c>
    </row>
    <row r="22">
      <c r="A22" s="5" t="n">
        <v>0</v>
      </c>
      <c r="B22" s="6" t="inlineStr">
        <is>
          <t>Sodium oligomannate (GV-971)</t>
        </is>
      </c>
      <c r="C22" s="7" t="inlineStr">
        <is>
          <t>Oligosaccharide / gut microbiome modulator</t>
        </is>
      </c>
      <c r="D22" s="7" t="inlineStr">
        <is>
          <t>Mild–moderate AD dementia</t>
        </is>
      </c>
      <c r="E22" s="7" t="inlineStr">
        <is>
          <t>Approved in China (2019)</t>
        </is>
      </c>
      <c r="F22" s="7" t="inlineStr"/>
      <c r="G22" s="7" t="inlineStr">
        <is>
          <t>Stage mismatch=2; Human causality weak=2; Target engagement hard=2</t>
        </is>
      </c>
      <c r="H22" s="6" t="inlineStr">
        <is>
          <t>Medium</t>
        </is>
      </c>
      <c r="I22" s="7" t="inlineStr"/>
      <c r="J22" s="5" t="inlineStr">
        <is>
          <t>Unknown</t>
        </is>
      </c>
      <c r="K22" s="5" t="inlineStr">
        <is>
          <t>Unknown</t>
        </is>
      </c>
      <c r="L22" s="5" t="inlineStr">
        <is>
          <t>Unknown</t>
        </is>
      </c>
      <c r="M22" s="8" t="n"/>
      <c r="N22" s="5" t="n">
        <v>0</v>
      </c>
      <c r="O22" s="5" t="n">
        <v>0</v>
      </c>
      <c r="P22" s="5" t="n">
        <v>2</v>
      </c>
      <c r="Q22" s="5" t="n">
        <v>2</v>
      </c>
      <c r="R22" s="5" t="n">
        <v>2</v>
      </c>
      <c r="S22" s="5" t="n">
        <v>0</v>
      </c>
      <c r="T22" s="5" t="n">
        <v>0</v>
      </c>
      <c r="U22" s="5" t="n">
        <v>0</v>
      </c>
      <c r="V22" s="6">
        <f>SUM(N22:U22)+Z22</f>
        <v/>
      </c>
      <c r="W22" s="6">
        <f>IF(V22&lt;=Params!$B$2,"Low",IF(V22&lt;=Params!$B$3,"Medium","High"))</f>
        <v/>
      </c>
      <c r="X22" s="6">
        <f>IF(W22="High",1,0)</f>
        <v/>
      </c>
      <c r="Y22">
        <f>IF(OR(ISNUMBER(SEARCH("Cholinesterase",$C22)),ISNUMBER(SEARCH("NMDA",$C22)),ISNUMBER(SEARCH("5-HT6",$C22)),ISNUMBER(SEARCH("H3",$C22)),ISNUMBER(SEARCH("Muscarinic",$C22)),ISNUMBER(SEARCH("Nicotinic",$C22)),ISNUMBER(SEARCH("ampakine",$C22)),ISNUMBER(SEARCH("antipsychotic",$C22)),ISNUMBER(SEARCH("symptomatic",$C22))),"Symptomatic","DMT")</f>
        <v/>
      </c>
      <c r="Z22">
        <f>IF(OR(ISNUMBER(SEARCH("5-HT6",$C22)),ISNUMBER(SEARCH("Histamine H3",$C22)),ISNUMBER(SEARCH("H3 receptor",$C22)),ISNUMBER(SEARCH("Muscarinic",$C22)),ISNUMBER(SEARCH("Nicotinic",$C22))),2,0)</f>
        <v/>
      </c>
    </row>
    <row r="23">
      <c r="A23" s="5" t="n">
        <v>0</v>
      </c>
      <c r="B23" s="6" t="inlineStr">
        <is>
          <t>Brexpiprazole (Rexulti) — agitation</t>
        </is>
      </c>
      <c r="C23" s="7" t="inlineStr">
        <is>
          <t>Atypical antipsychotic</t>
        </is>
      </c>
      <c r="D23" s="7" t="inlineStr">
        <is>
          <t>Agitation associated with Alzheimer’s dementia</t>
        </is>
      </c>
      <c r="E23" s="7" t="inlineStr">
        <is>
          <t>Approved (symptom: agitation)</t>
        </is>
      </c>
      <c r="F23" s="7" t="inlineStr"/>
      <c r="G23" s="7" t="inlineStr">
        <is>
          <t>Pleiotropy/toxicity=1; Target engagement hard=1; Safety burden=2</t>
        </is>
      </c>
      <c r="H23" s="6" t="inlineStr">
        <is>
          <t>Low</t>
        </is>
      </c>
      <c r="I23" s="7" t="inlineStr"/>
      <c r="J23" s="5" t="inlineStr">
        <is>
          <t>Unknown</t>
        </is>
      </c>
      <c r="K23" s="5" t="inlineStr">
        <is>
          <t>Unknown</t>
        </is>
      </c>
      <c r="L23" s="5" t="inlineStr">
        <is>
          <t>Unknown</t>
        </is>
      </c>
      <c r="M23" s="8" t="n"/>
      <c r="N23" s="5" t="n">
        <v>1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2</v>
      </c>
      <c r="T23" s="5" t="n">
        <v>0</v>
      </c>
      <c r="U23" s="5" t="n">
        <v>0</v>
      </c>
      <c r="V23" s="6">
        <f>SUM(N23:U23)+Z23</f>
        <v/>
      </c>
      <c r="W23" s="6">
        <f>IF(V23&lt;=Params!$B$2,"Low",IF(V23&lt;=Params!$B$3,"Medium","High"))</f>
        <v/>
      </c>
      <c r="X23" s="6">
        <f>IF(W23="High",1,0)</f>
        <v/>
      </c>
      <c r="Y23">
        <f>IF(OR(ISNUMBER(SEARCH("Cholinesterase",$C23)),ISNUMBER(SEARCH("NMDA",$C23)),ISNUMBER(SEARCH("5-HT6",$C23)),ISNUMBER(SEARCH("H3",$C23)),ISNUMBER(SEARCH("Muscarinic",$C23)),ISNUMBER(SEARCH("Nicotinic",$C23)),ISNUMBER(SEARCH("ampakine",$C23)),ISNUMBER(SEARCH("antipsychotic",$C23)),ISNUMBER(SEARCH("symptomatic",$C23))),"Symptomatic","DMT")</f>
        <v/>
      </c>
      <c r="Z23">
        <f>IF(OR(ISNUMBER(SEARCH("5-HT6",$C23)),ISNUMBER(SEARCH("Histamine H3",$C23)),ISNUMBER(SEARCH("H3 receptor",$C23)),ISNUMBER(SEARCH("Muscarinic",$C23)),ISNUMBER(SEARCH("Nicotinic",$C23))),2,0)</f>
        <v/>
      </c>
    </row>
    <row r="24">
      <c r="A24" s="5" t="n">
        <v>1</v>
      </c>
      <c r="B24" s="6" t="inlineStr">
        <is>
          <t>Idalopirdine (Lu AE58054)</t>
        </is>
      </c>
      <c r="C24" s="7" t="inlineStr">
        <is>
          <t>5-HT6 receptor antagonist</t>
        </is>
      </c>
      <c r="D24" s="7" t="inlineStr">
        <is>
          <t>Mild–moderate AD dementia</t>
        </is>
      </c>
      <c r="E24" s="7" t="inlineStr">
        <is>
          <t>Failed Phase 3; development discontinued</t>
        </is>
      </c>
      <c r="F24" s="7" t="inlineStr">
        <is>
          <t>Efficacy</t>
        </is>
      </c>
      <c r="G24" s="7" t="inlineStr">
        <is>
          <t>Pleiotropy/toxicity=1; Human causality weak=1; Target engagement hard=1; Safety burden=1</t>
        </is>
      </c>
      <c r="H24" s="6" t="inlineStr">
        <is>
          <t>Low</t>
        </is>
      </c>
      <c r="I24" s="7" t="inlineStr"/>
      <c r="J24" s="5" t="inlineStr">
        <is>
          <t>Unknown</t>
        </is>
      </c>
      <c r="K24" s="5" t="inlineStr">
        <is>
          <t>Unknown</t>
        </is>
      </c>
      <c r="L24" s="5" t="inlineStr">
        <is>
          <t>Unknown</t>
        </is>
      </c>
      <c r="M24" s="8" t="n"/>
      <c r="N24" s="5" t="n">
        <v>1</v>
      </c>
      <c r="O24" s="5" t="n">
        <v>0</v>
      </c>
      <c r="P24" s="5" t="n">
        <v>0</v>
      </c>
      <c r="Q24" s="5" t="n">
        <v>1</v>
      </c>
      <c r="R24" s="5" t="n">
        <v>1</v>
      </c>
      <c r="S24" s="5" t="n">
        <v>1</v>
      </c>
      <c r="T24" s="5" t="n">
        <v>0</v>
      </c>
      <c r="U24" s="5" t="n">
        <v>0</v>
      </c>
      <c r="V24" s="6">
        <f>SUM(N24:U24)+Z24</f>
        <v/>
      </c>
      <c r="W24" s="6">
        <f>IF(V24&lt;=Params!$B$2,"Low",IF(V24&lt;=Params!$B$3,"Medium","High"))</f>
        <v/>
      </c>
      <c r="X24" s="6">
        <f>IF(W24="High",1,0)</f>
        <v/>
      </c>
      <c r="Y24">
        <f>IF(OR(ISNUMBER(SEARCH("Cholinesterase",$C24)),ISNUMBER(SEARCH("NMDA",$C24)),ISNUMBER(SEARCH("5-HT6",$C24)),ISNUMBER(SEARCH("H3",$C24)),ISNUMBER(SEARCH("Muscarinic",$C24)),ISNUMBER(SEARCH("Nicotinic",$C24)),ISNUMBER(SEARCH("ampakine",$C24)),ISNUMBER(SEARCH("antipsychotic",$C24)),ISNUMBER(SEARCH("symptomatic",$C24))),"Symptomatic","DMT")</f>
        <v/>
      </c>
      <c r="Z24">
        <f>IF(OR(ISNUMBER(SEARCH("5-HT6",$C24)),ISNUMBER(SEARCH("Histamine H3",$C24)),ISNUMBER(SEARCH("H3 receptor",$C24)),ISNUMBER(SEARCH("Muscarinic",$C24)),ISNUMBER(SEARCH("Nicotinic",$C24))),2,0)</f>
        <v/>
      </c>
    </row>
    <row r="25">
      <c r="A25" s="5" t="n">
        <v>1</v>
      </c>
      <c r="B25" s="6" t="inlineStr">
        <is>
          <t>Intepirdine (RVT-101 / SB-742457)</t>
        </is>
      </c>
      <c r="C25" s="7" t="inlineStr">
        <is>
          <t>5-HT6 receptor antagonist</t>
        </is>
      </c>
      <c r="D25" s="7" t="inlineStr">
        <is>
          <t>Mild–moderate AD dementia</t>
        </is>
      </c>
      <c r="E25" s="7" t="inlineStr">
        <is>
          <t>Failed Phase 3; development discontinued</t>
        </is>
      </c>
      <c r="F25" s="7" t="inlineStr">
        <is>
          <t>Efficacy</t>
        </is>
      </c>
      <c r="G25" s="7" t="inlineStr">
        <is>
          <t>Pleiotropy/toxicity=1; Human causality weak=1; Target engagement hard=1; Safety burden=1</t>
        </is>
      </c>
      <c r="H25" s="6" t="inlineStr">
        <is>
          <t>Low</t>
        </is>
      </c>
      <c r="I25" s="7" t="inlineStr"/>
      <c r="J25" s="5" t="inlineStr">
        <is>
          <t>Unknown</t>
        </is>
      </c>
      <c r="K25" s="5" t="inlineStr">
        <is>
          <t>Unknown</t>
        </is>
      </c>
      <c r="L25" s="5" t="inlineStr">
        <is>
          <t>Unknown</t>
        </is>
      </c>
      <c r="M25" s="8" t="n"/>
      <c r="N25" s="5" t="n">
        <v>1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1</v>
      </c>
      <c r="T25" s="5" t="n">
        <v>0</v>
      </c>
      <c r="U25" s="5" t="n">
        <v>0</v>
      </c>
      <c r="V25" s="6">
        <f>SUM(N25:U25)+Z25</f>
        <v/>
      </c>
      <c r="W25" s="6">
        <f>IF(V25&lt;=Params!$B$2,"Low",IF(V25&lt;=Params!$B$3,"Medium","High"))</f>
        <v/>
      </c>
      <c r="X25" s="6">
        <f>IF(W25="High",1,0)</f>
        <v/>
      </c>
      <c r="Y25">
        <f>IF(OR(ISNUMBER(SEARCH("Cholinesterase",$C25)),ISNUMBER(SEARCH("NMDA",$C25)),ISNUMBER(SEARCH("5-HT6",$C25)),ISNUMBER(SEARCH("H3",$C25)),ISNUMBER(SEARCH("Muscarinic",$C25)),ISNUMBER(SEARCH("Nicotinic",$C25)),ISNUMBER(SEARCH("ampakine",$C25)),ISNUMBER(SEARCH("antipsychotic",$C25)),ISNUMBER(SEARCH("symptomatic",$C25))),"Symptomatic","DMT")</f>
        <v/>
      </c>
      <c r="Z25">
        <f>IF(OR(ISNUMBER(SEARCH("5-HT6",$C25)),ISNUMBER(SEARCH("Histamine H3",$C25)),ISNUMBER(SEARCH("H3 receptor",$C25)),ISNUMBER(SEARCH("Muscarinic",$C25)),ISNUMBER(SEARCH("Nicotinic",$C25))),2,0)</f>
        <v/>
      </c>
    </row>
    <row r="26">
      <c r="A26" s="5" t="n">
        <v>1</v>
      </c>
      <c r="B26" s="6" t="inlineStr">
        <is>
          <t>ABT-288</t>
        </is>
      </c>
      <c r="C26" s="7" t="inlineStr">
        <is>
          <t>Histamine H3 receptor antagonist</t>
        </is>
      </c>
      <c r="D26" s="7" t="inlineStr">
        <is>
          <t>Mild–moderate AD dementia</t>
        </is>
      </c>
      <c r="E26" s="7" t="inlineStr">
        <is>
          <t>Failed clinical development; discontinued</t>
        </is>
      </c>
      <c r="F26" s="7" t="inlineStr">
        <is>
          <t>Efficacy</t>
        </is>
      </c>
      <c r="G26" s="7" t="inlineStr">
        <is>
          <t>Pleiotropy/toxicity=1; Human causality weak=1; Target engagement hard=1; Safety burden=1</t>
        </is>
      </c>
      <c r="H26" s="6" t="inlineStr">
        <is>
          <t>Low</t>
        </is>
      </c>
      <c r="I26" s="7" t="inlineStr"/>
      <c r="J26" s="5" t="inlineStr">
        <is>
          <t>Unknown</t>
        </is>
      </c>
      <c r="K26" s="5" t="inlineStr">
        <is>
          <t>Unknown</t>
        </is>
      </c>
      <c r="L26" s="5" t="inlineStr">
        <is>
          <t>Unknown</t>
        </is>
      </c>
      <c r="M26" s="8" t="n"/>
      <c r="N26" s="5" t="n">
        <v>1</v>
      </c>
      <c r="O26" s="5" t="n">
        <v>0</v>
      </c>
      <c r="P26" s="5" t="n">
        <v>0</v>
      </c>
      <c r="Q26" s="5" t="n">
        <v>1</v>
      </c>
      <c r="R26" s="5" t="n">
        <v>1</v>
      </c>
      <c r="S26" s="5" t="n">
        <v>1</v>
      </c>
      <c r="T26" s="5" t="n">
        <v>0</v>
      </c>
      <c r="U26" s="5" t="n">
        <v>0</v>
      </c>
      <c r="V26" s="6">
        <f>SUM(N26:U26)+Z26</f>
        <v/>
      </c>
      <c r="W26" s="6">
        <f>IF(V26&lt;=Params!$B$2,"Low",IF(V26&lt;=Params!$B$3,"Medium","High"))</f>
        <v/>
      </c>
      <c r="X26" s="6">
        <f>IF(W26="High",1,0)</f>
        <v/>
      </c>
      <c r="Y26">
        <f>IF(OR(ISNUMBER(SEARCH("Cholinesterase",$C26)),ISNUMBER(SEARCH("NMDA",$C26)),ISNUMBER(SEARCH("5-HT6",$C26)),ISNUMBER(SEARCH("H3",$C26)),ISNUMBER(SEARCH("Muscarinic",$C26)),ISNUMBER(SEARCH("Nicotinic",$C26)),ISNUMBER(SEARCH("ampakine",$C26)),ISNUMBER(SEARCH("antipsychotic",$C26)),ISNUMBER(SEARCH("symptomatic",$C26))),"Symptomatic","DMT")</f>
        <v/>
      </c>
      <c r="Z26">
        <f>IF(OR(ISNUMBER(SEARCH("5-HT6",$C26)),ISNUMBER(SEARCH("Histamine H3",$C26)),ISNUMBER(SEARCH("H3 receptor",$C26)),ISNUMBER(SEARCH("Muscarinic",$C26)),ISNUMBER(SEARCH("Nicotinic",$C26))),2,0)</f>
        <v/>
      </c>
    </row>
    <row r="27">
      <c r="A27" s="5" t="n">
        <v>1</v>
      </c>
      <c r="B27" s="6" t="inlineStr">
        <is>
          <t>GSK239512</t>
        </is>
      </c>
      <c r="C27" s="7" t="inlineStr">
        <is>
          <t>Histamine H3 receptor antagonist</t>
        </is>
      </c>
      <c r="D27" s="7" t="inlineStr">
        <is>
          <t>Mild–moderate AD dementia</t>
        </is>
      </c>
      <c r="E27" s="7" t="inlineStr">
        <is>
          <t>Failed clinical development; discontinued</t>
        </is>
      </c>
      <c r="F27" s="7" t="inlineStr">
        <is>
          <t>Efficacy</t>
        </is>
      </c>
      <c r="G27" s="7" t="inlineStr">
        <is>
          <t>Pleiotropy/toxicity=1; Human causality weak=1; Target engagement hard=1; Safety burden=1</t>
        </is>
      </c>
      <c r="H27" s="6" t="inlineStr">
        <is>
          <t>Low</t>
        </is>
      </c>
      <c r="I27" s="7" t="inlineStr"/>
      <c r="J27" s="5" t="inlineStr">
        <is>
          <t>Unknown</t>
        </is>
      </c>
      <c r="K27" s="5" t="inlineStr">
        <is>
          <t>Unknown</t>
        </is>
      </c>
      <c r="L27" s="5" t="inlineStr">
        <is>
          <t>Unknown</t>
        </is>
      </c>
      <c r="M27" s="8" t="n"/>
      <c r="N27" s="5" t="n">
        <v>1</v>
      </c>
      <c r="O27" s="5" t="n">
        <v>0</v>
      </c>
      <c r="P27" s="5" t="n">
        <v>0</v>
      </c>
      <c r="Q27" s="5" t="n">
        <v>1</v>
      </c>
      <c r="R27" s="5" t="n">
        <v>1</v>
      </c>
      <c r="S27" s="5" t="n">
        <v>1</v>
      </c>
      <c r="T27" s="5" t="n">
        <v>0</v>
      </c>
      <c r="U27" s="5" t="n">
        <v>0</v>
      </c>
      <c r="V27" s="6">
        <f>SUM(N27:U27)+Z27</f>
        <v/>
      </c>
      <c r="W27" s="6">
        <f>IF(V27&lt;=Params!$B$2,"Low",IF(V27&lt;=Params!$B$3,"Medium","High"))</f>
        <v/>
      </c>
      <c r="X27" s="6">
        <f>IF(W27="High",1,0)</f>
        <v/>
      </c>
      <c r="Y27">
        <f>IF(OR(ISNUMBER(SEARCH("Cholinesterase",$C27)),ISNUMBER(SEARCH("NMDA",$C27)),ISNUMBER(SEARCH("5-HT6",$C27)),ISNUMBER(SEARCH("H3",$C27)),ISNUMBER(SEARCH("Muscarinic",$C27)),ISNUMBER(SEARCH("Nicotinic",$C27)),ISNUMBER(SEARCH("ampakine",$C27)),ISNUMBER(SEARCH("antipsychotic",$C27)),ISNUMBER(SEARCH("symptomatic",$C27))),"Symptomatic","DMT")</f>
        <v/>
      </c>
      <c r="Z27">
        <f>IF(OR(ISNUMBER(SEARCH("5-HT6",$C27)),ISNUMBER(SEARCH("Histamine H3",$C27)),ISNUMBER(SEARCH("H3 receptor",$C27)),ISNUMBER(SEARCH("Muscarinic",$C27)),ISNUMBER(SEARCH("Nicotinic",$C27))),2,0)</f>
        <v/>
      </c>
    </row>
    <row r="28">
      <c r="A28" s="5" t="n">
        <v>1</v>
      </c>
      <c r="B28" s="6" t="inlineStr">
        <is>
          <t>Encenicline (EVP-6124)</t>
        </is>
      </c>
      <c r="C28" s="7" t="inlineStr">
        <is>
          <t>α7 nicotinic ACh receptor agonist</t>
        </is>
      </c>
      <c r="D28" s="7" t="inlineStr">
        <is>
          <t>Mild–moderate AD dementia</t>
        </is>
      </c>
      <c r="E28" s="7" t="inlineStr">
        <is>
          <t>Development halted/discontinued</t>
        </is>
      </c>
      <c r="F28" s="7" t="inlineStr">
        <is>
          <t>Safety</t>
        </is>
      </c>
      <c r="G28" s="7" t="inlineStr">
        <is>
          <t>Pleiotropy/toxicity=1; Human causality weak=1; Target engagement hard=1; Safety burden=1</t>
        </is>
      </c>
      <c r="H28" s="6" t="inlineStr">
        <is>
          <t>Low</t>
        </is>
      </c>
      <c r="I28" s="7" t="inlineStr"/>
      <c r="J28" s="5" t="inlineStr">
        <is>
          <t>Unknown</t>
        </is>
      </c>
      <c r="K28" s="5" t="inlineStr">
        <is>
          <t>Unknown</t>
        </is>
      </c>
      <c r="L28" s="5" t="inlineStr">
        <is>
          <t>Unknown</t>
        </is>
      </c>
      <c r="M28" s="8" t="n"/>
      <c r="N28" s="5" t="n">
        <v>1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1</v>
      </c>
      <c r="T28" s="5" t="n">
        <v>0</v>
      </c>
      <c r="U28" s="5" t="n">
        <v>0</v>
      </c>
      <c r="V28" s="6">
        <f>SUM(N28:U28)+Z28</f>
        <v/>
      </c>
      <c r="W28" s="6">
        <f>IF(V28&lt;=Params!$B$2,"Low",IF(V28&lt;=Params!$B$3,"Medium","High"))</f>
        <v/>
      </c>
      <c r="X28" s="6">
        <f>IF(W28="High",1,0)</f>
        <v/>
      </c>
      <c r="Y28">
        <f>IF(OR(ISNUMBER(SEARCH("Cholinesterase",$C28)),ISNUMBER(SEARCH("NMDA",$C28)),ISNUMBER(SEARCH("5-HT6",$C28)),ISNUMBER(SEARCH("H3",$C28)),ISNUMBER(SEARCH("Muscarinic",$C28)),ISNUMBER(SEARCH("Nicotinic",$C28)),ISNUMBER(SEARCH("ampakine",$C28)),ISNUMBER(SEARCH("antipsychotic",$C28)),ISNUMBER(SEARCH("symptomatic",$C28))),"Symptomatic","DMT")</f>
        <v/>
      </c>
      <c r="Z28">
        <f>IF(OR(ISNUMBER(SEARCH("5-HT6",$C28)),ISNUMBER(SEARCH("Histamine H3",$C28)),ISNUMBER(SEARCH("H3 receptor",$C28)),ISNUMBER(SEARCH("Muscarinic",$C28)),ISNUMBER(SEARCH("Nicotinic",$C28))),2,0)</f>
        <v/>
      </c>
    </row>
    <row r="29">
      <c r="A29" s="5" t="n">
        <v>1</v>
      </c>
      <c r="B29" s="6" t="inlineStr">
        <is>
          <t>BI 1181181</t>
        </is>
      </c>
      <c r="C29" s="7" t="inlineStr">
        <is>
          <t>BACE inhibitor</t>
        </is>
      </c>
      <c r="D29" s="7" t="inlineStr">
        <is>
          <t>AD / MCI (early trials)</t>
        </is>
      </c>
      <c r="E29" s="7" t="inlineStr">
        <is>
          <t>Discontinued in early development</t>
        </is>
      </c>
      <c r="F29" s="7" t="inlineStr">
        <is>
          <t>Other/Strategic</t>
        </is>
      </c>
      <c r="G29" s="7" t="inlineStr">
        <is>
          <t>Pleiotropy/toxicity=2; Safety burden=2; Ancestry modifier unmodeled=1</t>
        </is>
      </c>
      <c r="H29" s="6" t="inlineStr">
        <is>
          <t>Medium</t>
        </is>
      </c>
      <c r="I29" s="7" t="inlineStr"/>
      <c r="J29" s="5" t="inlineStr">
        <is>
          <t>Unknown</t>
        </is>
      </c>
      <c r="K29" s="5" t="inlineStr">
        <is>
          <t>Unknown</t>
        </is>
      </c>
      <c r="L29" s="5" t="inlineStr">
        <is>
          <t>Unknown</t>
        </is>
      </c>
      <c r="M29" s="8" t="n"/>
      <c r="N29" s="5" t="n">
        <v>2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2</v>
      </c>
      <c r="T29" s="5" t="n">
        <v>0</v>
      </c>
      <c r="U29" s="5" t="n">
        <v>1</v>
      </c>
      <c r="V29" s="6">
        <f>SUM(N29:U29)+Z29</f>
        <v/>
      </c>
      <c r="W29" s="6">
        <f>IF(V29&lt;=Params!$B$2,"Low",IF(V29&lt;=Params!$B$3,"Medium","High"))</f>
        <v/>
      </c>
      <c r="X29" s="6">
        <f>IF(W29="High",1,0)</f>
        <v/>
      </c>
      <c r="Y29">
        <f>IF(OR(ISNUMBER(SEARCH("Cholinesterase",$C29)),ISNUMBER(SEARCH("NMDA",$C29)),ISNUMBER(SEARCH("5-HT6",$C29)),ISNUMBER(SEARCH("H3",$C29)),ISNUMBER(SEARCH("Muscarinic",$C29)),ISNUMBER(SEARCH("Nicotinic",$C29)),ISNUMBER(SEARCH("ampakine",$C29)),ISNUMBER(SEARCH("antipsychotic",$C29)),ISNUMBER(SEARCH("symptomatic",$C29))),"Symptomatic","DMT")</f>
        <v/>
      </c>
      <c r="Z29">
        <f>IF(OR(ISNUMBER(SEARCH("5-HT6",$C29)),ISNUMBER(SEARCH("Histamine H3",$C29)),ISNUMBER(SEARCH("H3 receptor",$C29)),ISNUMBER(SEARCH("Muscarinic",$C29)),ISNUMBER(SEARCH("Nicotinic",$C29))),2,0)</f>
        <v/>
      </c>
    </row>
    <row r="30">
      <c r="A30" s="5" t="n">
        <v>1</v>
      </c>
      <c r="B30" s="6" t="inlineStr">
        <is>
          <t>RG7129</t>
        </is>
      </c>
      <c r="C30" s="7" t="inlineStr">
        <is>
          <t>BACE inhibitor</t>
        </is>
      </c>
      <c r="D30" s="7" t="inlineStr">
        <is>
          <t>AD / MCI (early trials)</t>
        </is>
      </c>
      <c r="E30" s="7" t="inlineStr">
        <is>
          <t>Discontinued in early development</t>
        </is>
      </c>
      <c r="F30" s="7" t="inlineStr">
        <is>
          <t>Safety</t>
        </is>
      </c>
      <c r="G30" s="7" t="inlineStr">
        <is>
          <t>Pleiotropy/toxicity=2; Safety burden=2; Ancestry modifier unmodeled=1</t>
        </is>
      </c>
      <c r="H30" s="6" t="inlineStr">
        <is>
          <t>Medium</t>
        </is>
      </c>
      <c r="I30" s="7" t="inlineStr"/>
      <c r="J30" s="5" t="inlineStr">
        <is>
          <t>Unknown</t>
        </is>
      </c>
      <c r="K30" s="5" t="inlineStr">
        <is>
          <t>Unknown</t>
        </is>
      </c>
      <c r="L30" s="5" t="inlineStr">
        <is>
          <t>Unknown</t>
        </is>
      </c>
      <c r="M30" s="8" t="n"/>
      <c r="N30" s="5" t="n">
        <v>2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2</v>
      </c>
      <c r="T30" s="5" t="n">
        <v>0</v>
      </c>
      <c r="U30" s="5" t="n">
        <v>1</v>
      </c>
      <c r="V30" s="6">
        <f>SUM(N30:U30)+Z30</f>
        <v/>
      </c>
      <c r="W30" s="6">
        <f>IF(V30&lt;=Params!$B$2,"Low",IF(V30&lt;=Params!$B$3,"Medium","High"))</f>
        <v/>
      </c>
      <c r="X30" s="6">
        <f>IF(W30="High",1,0)</f>
        <v/>
      </c>
      <c r="Y30">
        <f>IF(OR(ISNUMBER(SEARCH("Cholinesterase",$C30)),ISNUMBER(SEARCH("NMDA",$C30)),ISNUMBER(SEARCH("5-HT6",$C30)),ISNUMBER(SEARCH("H3",$C30)),ISNUMBER(SEARCH("Muscarinic",$C30)),ISNUMBER(SEARCH("Nicotinic",$C30)),ISNUMBER(SEARCH("ampakine",$C30)),ISNUMBER(SEARCH("antipsychotic",$C30)),ISNUMBER(SEARCH("symptomatic",$C30))),"Symptomatic","DMT")</f>
        <v/>
      </c>
      <c r="Z30">
        <f>IF(OR(ISNUMBER(SEARCH("5-HT6",$C30)),ISNUMBER(SEARCH("Histamine H3",$C30)),ISNUMBER(SEARCH("H3 receptor",$C30)),ISNUMBER(SEARCH("Muscarinic",$C30)),ISNUMBER(SEARCH("Nicotinic",$C30))),2,0)</f>
        <v/>
      </c>
    </row>
    <row r="31">
      <c r="A31" s="5" t="n">
        <v>1</v>
      </c>
      <c r="B31" s="6" t="inlineStr">
        <is>
          <t>LY2811376</t>
        </is>
      </c>
      <c r="C31" s="7" t="inlineStr">
        <is>
          <t>BACE inhibitor</t>
        </is>
      </c>
      <c r="D31" s="7" t="inlineStr">
        <is>
          <t>AD / MCI (early trials)</t>
        </is>
      </c>
      <c r="E31" s="7" t="inlineStr">
        <is>
          <t>Discontinued in early development</t>
        </is>
      </c>
      <c r="F31" s="7" t="inlineStr">
        <is>
          <t>Safety</t>
        </is>
      </c>
      <c r="G31" s="7" t="inlineStr">
        <is>
          <t>Pleiotropy/toxicity=2; Safety burden=2; Ancestry modifier unmodeled=1</t>
        </is>
      </c>
      <c r="H31" s="6" t="inlineStr">
        <is>
          <t>Medium</t>
        </is>
      </c>
      <c r="I31" s="7" t="inlineStr"/>
      <c r="J31" s="5" t="inlineStr">
        <is>
          <t>Unknown</t>
        </is>
      </c>
      <c r="K31" s="5" t="inlineStr">
        <is>
          <t>Unknown</t>
        </is>
      </c>
      <c r="L31" s="5" t="inlineStr">
        <is>
          <t>Unknown</t>
        </is>
      </c>
      <c r="M31" s="8" t="n"/>
      <c r="N31" s="5" t="n">
        <v>2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2</v>
      </c>
      <c r="T31" s="5" t="n">
        <v>0</v>
      </c>
      <c r="U31" s="5" t="n">
        <v>1</v>
      </c>
      <c r="V31" s="6">
        <f>SUM(N31:U31)+Z31</f>
        <v/>
      </c>
      <c r="W31" s="6">
        <f>IF(V31&lt;=Params!$B$2,"Low",IF(V31&lt;=Params!$B$3,"Medium","High"))</f>
        <v/>
      </c>
      <c r="X31" s="6">
        <f>IF(W31="High",1,0)</f>
        <v/>
      </c>
      <c r="Y31">
        <f>IF(OR(ISNUMBER(SEARCH("Cholinesterase",$C31)),ISNUMBER(SEARCH("NMDA",$C31)),ISNUMBER(SEARCH("5-HT6",$C31)),ISNUMBER(SEARCH("H3",$C31)),ISNUMBER(SEARCH("Muscarinic",$C31)),ISNUMBER(SEARCH("Nicotinic",$C31)),ISNUMBER(SEARCH("ampakine",$C31)),ISNUMBER(SEARCH("antipsychotic",$C31)),ISNUMBER(SEARCH("symptomatic",$C31))),"Symptomatic","DMT")</f>
        <v/>
      </c>
      <c r="Z31">
        <f>IF(OR(ISNUMBER(SEARCH("5-HT6",$C31)),ISNUMBER(SEARCH("Histamine H3",$C31)),ISNUMBER(SEARCH("H3 receptor",$C31)),ISNUMBER(SEARCH("Muscarinic",$C31)),ISNUMBER(SEARCH("Nicotinic",$C31))),2,0)</f>
        <v/>
      </c>
    </row>
    <row r="32">
      <c r="A32" s="5" t="n">
        <v>1</v>
      </c>
      <c r="B32" s="6" t="inlineStr">
        <is>
          <t>LY2886721</t>
        </is>
      </c>
      <c r="C32" s="7" t="inlineStr">
        <is>
          <t>BACE inhibitor</t>
        </is>
      </c>
      <c r="D32" s="7" t="inlineStr">
        <is>
          <t>AD / MCI (early trials)</t>
        </is>
      </c>
      <c r="E32" s="7" t="inlineStr">
        <is>
          <t>Discontinued in early development</t>
        </is>
      </c>
      <c r="F32" s="7" t="inlineStr">
        <is>
          <t>Safety</t>
        </is>
      </c>
      <c r="G32" s="7" t="inlineStr">
        <is>
          <t>Pleiotropy/toxicity=2; Safety burden=2; Ancestry modifier unmodeled=1</t>
        </is>
      </c>
      <c r="H32" s="6" t="inlineStr">
        <is>
          <t>Medium</t>
        </is>
      </c>
      <c r="I32" s="7" t="inlineStr"/>
      <c r="J32" s="5" t="inlineStr">
        <is>
          <t>Unknown</t>
        </is>
      </c>
      <c r="K32" s="5" t="inlineStr">
        <is>
          <t>Unknown</t>
        </is>
      </c>
      <c r="L32" s="5" t="inlineStr">
        <is>
          <t>Unknown</t>
        </is>
      </c>
      <c r="M32" s="8" t="n"/>
      <c r="N32" s="5" t="n">
        <v>2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2</v>
      </c>
      <c r="T32" s="5" t="n">
        <v>0</v>
      </c>
      <c r="U32" s="5" t="n">
        <v>1</v>
      </c>
      <c r="V32" s="6">
        <f>SUM(N32:U32)+Z32</f>
        <v/>
      </c>
      <c r="W32" s="6">
        <f>IF(V32&lt;=Params!$B$2,"Low",IF(V32&lt;=Params!$B$3,"Medium","High"))</f>
        <v/>
      </c>
      <c r="X32" s="6">
        <f>IF(W32="High",1,0)</f>
        <v/>
      </c>
      <c r="Y32">
        <f>IF(OR(ISNUMBER(SEARCH("Cholinesterase",$C32)),ISNUMBER(SEARCH("NMDA",$C32)),ISNUMBER(SEARCH("5-HT6",$C32)),ISNUMBER(SEARCH("H3",$C32)),ISNUMBER(SEARCH("Muscarinic",$C32)),ISNUMBER(SEARCH("Nicotinic",$C32)),ISNUMBER(SEARCH("ampakine",$C32)),ISNUMBER(SEARCH("antipsychotic",$C32)),ISNUMBER(SEARCH("symptomatic",$C32))),"Symptomatic","DMT")</f>
        <v/>
      </c>
      <c r="Z32">
        <f>IF(OR(ISNUMBER(SEARCH("5-HT6",$C32)),ISNUMBER(SEARCH("Histamine H3",$C32)),ISNUMBER(SEARCH("H3 receptor",$C32)),ISNUMBER(SEARCH("Muscarinic",$C32)),ISNUMBER(SEARCH("Nicotinic",$C32))),2,0)</f>
        <v/>
      </c>
    </row>
    <row r="33">
      <c r="A33" s="5" t="n">
        <v>1</v>
      </c>
      <c r="B33" s="6" t="inlineStr">
        <is>
          <t>Lanabecestat (AZD3293 / LY3314814)</t>
        </is>
      </c>
      <c r="C33" s="7" t="inlineStr">
        <is>
          <t>BACE inhibitor</t>
        </is>
      </c>
      <c r="D33" s="7" t="inlineStr">
        <is>
          <t>Early AD / mild AD dementia</t>
        </is>
      </c>
      <c r="E33" s="7" t="inlineStr">
        <is>
          <t>Phase 3 stopped for futility</t>
        </is>
      </c>
      <c r="F33" s="7" t="inlineStr">
        <is>
          <t>Efficacy</t>
        </is>
      </c>
      <c r="G33" s="7" t="inlineStr">
        <is>
          <t>Pleiotropy/toxicity=2; Safety burden=2; Ancestry modifier unmodeled=1</t>
        </is>
      </c>
      <c r="H33" s="6" t="inlineStr">
        <is>
          <t>Medium</t>
        </is>
      </c>
      <c r="I33" s="7" t="inlineStr"/>
      <c r="J33" s="5" t="inlineStr">
        <is>
          <t>Unknown</t>
        </is>
      </c>
      <c r="K33" s="5" t="inlineStr">
        <is>
          <t>Unknown</t>
        </is>
      </c>
      <c r="L33" s="5" t="inlineStr">
        <is>
          <t>Unknown</t>
        </is>
      </c>
      <c r="M33" s="8" t="n"/>
      <c r="N33" s="5" t="n">
        <v>2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2</v>
      </c>
      <c r="T33" s="5" t="n">
        <v>0</v>
      </c>
      <c r="U33" s="5" t="n">
        <v>1</v>
      </c>
      <c r="V33" s="6">
        <f>SUM(N33:U33)+Z33</f>
        <v/>
      </c>
      <c r="W33" s="6">
        <f>IF(V33&lt;=Params!$B$2,"Low",IF(V33&lt;=Params!$B$3,"Medium","High"))</f>
        <v/>
      </c>
      <c r="X33" s="6">
        <f>IF(W33="High",1,0)</f>
        <v/>
      </c>
      <c r="Y33">
        <f>IF(OR(ISNUMBER(SEARCH("Cholinesterase",$C33)),ISNUMBER(SEARCH("NMDA",$C33)),ISNUMBER(SEARCH("5-HT6",$C33)),ISNUMBER(SEARCH("H3",$C33)),ISNUMBER(SEARCH("Muscarinic",$C33)),ISNUMBER(SEARCH("Nicotinic",$C33)),ISNUMBER(SEARCH("ampakine",$C33)),ISNUMBER(SEARCH("antipsychotic",$C33)),ISNUMBER(SEARCH("symptomatic",$C33))),"Symptomatic","DMT")</f>
        <v/>
      </c>
      <c r="Z33">
        <f>IF(OR(ISNUMBER(SEARCH("5-HT6",$C33)),ISNUMBER(SEARCH("Histamine H3",$C33)),ISNUMBER(SEARCH("H3 receptor",$C33)),ISNUMBER(SEARCH("Muscarinic",$C33)),ISNUMBER(SEARCH("Nicotinic",$C33))),2,0)</f>
        <v/>
      </c>
    </row>
    <row r="34">
      <c r="A34" s="5" t="n">
        <v>1</v>
      </c>
      <c r="B34" s="6" t="inlineStr">
        <is>
          <t>Avagacestat (BMS-708163)</t>
        </is>
      </c>
      <c r="C34" s="7" t="inlineStr">
        <is>
          <t>γ-secretase inhibitor</t>
        </is>
      </c>
      <c r="D34" s="7" t="inlineStr">
        <is>
          <t>Mild–moderate AD dementia</t>
        </is>
      </c>
      <c r="E34" s="7" t="inlineStr">
        <is>
          <t>Failed/terminated clinical development</t>
        </is>
      </c>
      <c r="F34" s="7" t="inlineStr">
        <is>
          <t>Safety + efficacy</t>
        </is>
      </c>
      <c r="G34" s="7" t="inlineStr">
        <is>
          <t>Pleiotropy/toxicity=2; Stage mismatch=2; Safety burden=2; Ancestry modifier unmodeled=1</t>
        </is>
      </c>
      <c r="H34" s="6" t="inlineStr">
        <is>
          <t>Medium</t>
        </is>
      </c>
      <c r="I34" s="7" t="inlineStr"/>
      <c r="J34" s="5" t="inlineStr">
        <is>
          <t>Unknown</t>
        </is>
      </c>
      <c r="K34" s="5" t="inlineStr">
        <is>
          <t>Unknown</t>
        </is>
      </c>
      <c r="L34" s="5" t="inlineStr">
        <is>
          <t>Unknown</t>
        </is>
      </c>
      <c r="M34" s="8" t="n"/>
      <c r="N34" s="5" t="n">
        <v>2</v>
      </c>
      <c r="O34" s="5" t="n">
        <v>0</v>
      </c>
      <c r="P34" s="5" t="n">
        <v>2</v>
      </c>
      <c r="Q34" s="5" t="n">
        <v>0</v>
      </c>
      <c r="R34" s="5" t="n">
        <v>0</v>
      </c>
      <c r="S34" s="5" t="n">
        <v>2</v>
      </c>
      <c r="T34" s="5" t="n">
        <v>0</v>
      </c>
      <c r="U34" s="5" t="n">
        <v>1</v>
      </c>
      <c r="V34" s="6">
        <f>SUM(N34:U34)+Z34</f>
        <v/>
      </c>
      <c r="W34" s="6">
        <f>IF(V34&lt;=Params!$B$2,"Low",IF(V34&lt;=Params!$B$3,"Medium","High"))</f>
        <v/>
      </c>
      <c r="X34" s="6">
        <f>IF(W34="High",1,0)</f>
        <v/>
      </c>
      <c r="Y34">
        <f>IF(OR(ISNUMBER(SEARCH("Cholinesterase",$C34)),ISNUMBER(SEARCH("NMDA",$C34)),ISNUMBER(SEARCH("5-HT6",$C34)),ISNUMBER(SEARCH("H3",$C34)),ISNUMBER(SEARCH("Muscarinic",$C34)),ISNUMBER(SEARCH("Nicotinic",$C34)),ISNUMBER(SEARCH("ampakine",$C34)),ISNUMBER(SEARCH("antipsychotic",$C34)),ISNUMBER(SEARCH("symptomatic",$C34))),"Symptomatic","DMT")</f>
        <v/>
      </c>
      <c r="Z34">
        <f>IF(OR(ISNUMBER(SEARCH("5-HT6",$C34)),ISNUMBER(SEARCH("Histamine H3",$C34)),ISNUMBER(SEARCH("H3 receptor",$C34)),ISNUMBER(SEARCH("Muscarinic",$C34)),ISNUMBER(SEARCH("Nicotinic",$C34))),2,0)</f>
        <v/>
      </c>
    </row>
    <row r="35">
      <c r="A35" s="5" t="n">
        <v>1</v>
      </c>
      <c r="B35" s="6" t="inlineStr">
        <is>
          <t>EVP-0962</t>
        </is>
      </c>
      <c r="C35" s="7" t="inlineStr">
        <is>
          <t>γ-secretase modulator</t>
        </is>
      </c>
      <c r="D35" s="7" t="inlineStr">
        <is>
          <t>Mild–moderate AD dementia</t>
        </is>
      </c>
      <c r="E35" s="7" t="inlineStr">
        <is>
          <t>Discontinued</t>
        </is>
      </c>
      <c r="F35" s="7" t="inlineStr">
        <is>
          <t>Efficacy</t>
        </is>
      </c>
      <c r="G35" s="7" t="inlineStr">
        <is>
          <t>Pleiotropy/toxicity=1; Stage mismatch=2; Safety burden=1; Ancestry modifier unmodeled=1</t>
        </is>
      </c>
      <c r="H35" s="6" t="inlineStr">
        <is>
          <t>Medium</t>
        </is>
      </c>
      <c r="I35" s="7" t="inlineStr"/>
      <c r="J35" s="5" t="inlineStr">
        <is>
          <t>Unknown</t>
        </is>
      </c>
      <c r="K35" s="5" t="inlineStr">
        <is>
          <t>Unknown</t>
        </is>
      </c>
      <c r="L35" s="5" t="inlineStr">
        <is>
          <t>Unknown</t>
        </is>
      </c>
      <c r="M35" s="8" t="n"/>
      <c r="N35" s="5" t="n">
        <v>1</v>
      </c>
      <c r="O35" s="5" t="n">
        <v>0</v>
      </c>
      <c r="P35" s="5" t="n">
        <v>2</v>
      </c>
      <c r="Q35" s="5" t="n">
        <v>0</v>
      </c>
      <c r="R35" s="5" t="n">
        <v>0</v>
      </c>
      <c r="S35" s="5" t="n">
        <v>1</v>
      </c>
      <c r="T35" s="5" t="n">
        <v>0</v>
      </c>
      <c r="U35" s="5" t="n">
        <v>1</v>
      </c>
      <c r="V35" s="6">
        <f>SUM(N35:U35)+Z35</f>
        <v/>
      </c>
      <c r="W35" s="6">
        <f>IF(V35&lt;=Params!$B$2,"Low",IF(V35&lt;=Params!$B$3,"Medium","High"))</f>
        <v/>
      </c>
      <c r="X35" s="6">
        <f>IF(W35="High",1,0)</f>
        <v/>
      </c>
      <c r="Y35">
        <f>IF(OR(ISNUMBER(SEARCH("Cholinesterase",$C35)),ISNUMBER(SEARCH("NMDA",$C35)),ISNUMBER(SEARCH("5-HT6",$C35)),ISNUMBER(SEARCH("H3",$C35)),ISNUMBER(SEARCH("Muscarinic",$C35)),ISNUMBER(SEARCH("Nicotinic",$C35)),ISNUMBER(SEARCH("ampakine",$C35)),ISNUMBER(SEARCH("antipsychotic",$C35)),ISNUMBER(SEARCH("symptomatic",$C35))),"Symptomatic","DMT")</f>
        <v/>
      </c>
      <c r="Z35">
        <f>IF(OR(ISNUMBER(SEARCH("5-HT6",$C35)),ISNUMBER(SEARCH("Histamine H3",$C35)),ISNUMBER(SEARCH("H3 receptor",$C35)),ISNUMBER(SEARCH("Muscarinic",$C35)),ISNUMBER(SEARCH("Nicotinic",$C35))),2,0)</f>
        <v/>
      </c>
    </row>
    <row r="36">
      <c r="A36" s="5" t="n">
        <v>1</v>
      </c>
      <c r="B36" s="6" t="inlineStr">
        <is>
          <t>NIC5-15</t>
        </is>
      </c>
      <c r="C36" s="7" t="inlineStr">
        <is>
          <t>γ-secretase modulator (Notch-sparing candidate)</t>
        </is>
      </c>
      <c r="D36" s="7" t="inlineStr">
        <is>
          <t>Mild–moderate AD dementia</t>
        </is>
      </c>
      <c r="E36" s="7" t="inlineStr">
        <is>
          <t>Did not progress / discontinued</t>
        </is>
      </c>
      <c r="F36" s="7" t="inlineStr">
        <is>
          <t>Efficacy</t>
        </is>
      </c>
      <c r="G36" s="7" t="inlineStr">
        <is>
          <t>Pleiotropy/toxicity=1; Stage mismatch=2; Safety burden=1; Ancestry modifier unmodeled=1</t>
        </is>
      </c>
      <c r="H36" s="6" t="inlineStr">
        <is>
          <t>Medium</t>
        </is>
      </c>
      <c r="I36" s="7" t="inlineStr"/>
      <c r="J36" s="5" t="inlineStr">
        <is>
          <t>Unknown</t>
        </is>
      </c>
      <c r="K36" s="5" t="inlineStr">
        <is>
          <t>Unknown</t>
        </is>
      </c>
      <c r="L36" s="5" t="inlineStr">
        <is>
          <t>Unknown</t>
        </is>
      </c>
      <c r="M36" s="8" t="n"/>
      <c r="N36" s="5" t="n">
        <v>1</v>
      </c>
      <c r="O36" s="5" t="n">
        <v>0</v>
      </c>
      <c r="P36" s="5" t="n">
        <v>2</v>
      </c>
      <c r="Q36" s="5" t="n">
        <v>0</v>
      </c>
      <c r="R36" s="5" t="n">
        <v>0</v>
      </c>
      <c r="S36" s="5" t="n">
        <v>1</v>
      </c>
      <c r="T36" s="5" t="n">
        <v>0</v>
      </c>
      <c r="U36" s="5" t="n">
        <v>1</v>
      </c>
      <c r="V36" s="6">
        <f>SUM(N36:U36)+Z36</f>
        <v/>
      </c>
      <c r="W36" s="6">
        <f>IF(V36&lt;=Params!$B$2,"Low",IF(V36&lt;=Params!$B$3,"Medium","High"))</f>
        <v/>
      </c>
      <c r="X36" s="6">
        <f>IF(W36="High",1,0)</f>
        <v/>
      </c>
      <c r="Y36">
        <f>IF(OR(ISNUMBER(SEARCH("Cholinesterase",$C36)),ISNUMBER(SEARCH("NMDA",$C36)),ISNUMBER(SEARCH("5-HT6",$C36)),ISNUMBER(SEARCH("H3",$C36)),ISNUMBER(SEARCH("Muscarinic",$C36)),ISNUMBER(SEARCH("Nicotinic",$C36)),ISNUMBER(SEARCH("ampakine",$C36)),ISNUMBER(SEARCH("antipsychotic",$C36)),ISNUMBER(SEARCH("symptomatic",$C36))),"Symptomatic","DMT")</f>
        <v/>
      </c>
      <c r="Z36">
        <f>IF(OR(ISNUMBER(SEARCH("5-HT6",$C36)),ISNUMBER(SEARCH("Histamine H3",$C36)),ISNUMBER(SEARCH("H3 receptor",$C36)),ISNUMBER(SEARCH("Muscarinic",$C36)),ISNUMBER(SEARCH("Nicotinic",$C36))),2,0)</f>
        <v/>
      </c>
    </row>
    <row r="37">
      <c r="A37" s="5" t="n">
        <v>1</v>
      </c>
      <c r="B37" s="6" t="inlineStr">
        <is>
          <t>AN1792 (Aβ vaccine)</t>
        </is>
      </c>
      <c r="C37" s="7" t="inlineStr">
        <is>
          <t>Active Aβ immunotherapy</t>
        </is>
      </c>
      <c r="D37" s="7" t="inlineStr">
        <is>
          <t>Mild–moderate AD dementia</t>
        </is>
      </c>
      <c r="E37" s="7" t="inlineStr">
        <is>
          <t>Stopped due to meningoencephalitis cases</t>
        </is>
      </c>
      <c r="F37" s="7" t="inlineStr">
        <is>
          <t>Safety</t>
        </is>
      </c>
      <c r="G37" s="7" t="inlineStr">
        <is>
          <t>Pleiotropy/toxicity=1; Wrong species=1; Stage mismatch=2; Target engagement hard=1; Safety burden=2; Ancestry modifier unmodeled=1</t>
        </is>
      </c>
      <c r="H37" s="6" t="inlineStr">
        <is>
          <t>Medium</t>
        </is>
      </c>
      <c r="I37" s="7" t="inlineStr"/>
      <c r="J37" s="5" t="inlineStr">
        <is>
          <t>Unknown</t>
        </is>
      </c>
      <c r="K37" s="5" t="inlineStr">
        <is>
          <t>Unknown</t>
        </is>
      </c>
      <c r="L37" s="5" t="inlineStr">
        <is>
          <t>Unknown</t>
        </is>
      </c>
      <c r="M37" s="8" t="n"/>
      <c r="N37" s="5" t="n">
        <v>1</v>
      </c>
      <c r="O37" s="5" t="n">
        <v>1</v>
      </c>
      <c r="P37" s="5" t="n">
        <v>2</v>
      </c>
      <c r="Q37" s="5" t="n">
        <v>0</v>
      </c>
      <c r="R37" s="5" t="n">
        <v>1</v>
      </c>
      <c r="S37" s="5" t="n">
        <v>2</v>
      </c>
      <c r="T37" s="5" t="n">
        <v>0</v>
      </c>
      <c r="U37" s="5" t="n">
        <v>1</v>
      </c>
      <c r="V37" s="6">
        <f>SUM(N37:U37)+Z37</f>
        <v/>
      </c>
      <c r="W37" s="6">
        <f>IF(V37&lt;=Params!$B$2,"Low",IF(V37&lt;=Params!$B$3,"Medium","High"))</f>
        <v/>
      </c>
      <c r="X37" s="6">
        <f>IF(W37="High",1,0)</f>
        <v/>
      </c>
      <c r="Y37">
        <f>IF(OR(ISNUMBER(SEARCH("Cholinesterase",$C37)),ISNUMBER(SEARCH("NMDA",$C37)),ISNUMBER(SEARCH("5-HT6",$C37)),ISNUMBER(SEARCH("H3",$C37)),ISNUMBER(SEARCH("Muscarinic",$C37)),ISNUMBER(SEARCH("Nicotinic",$C37)),ISNUMBER(SEARCH("ampakine",$C37)),ISNUMBER(SEARCH("antipsychotic",$C37)),ISNUMBER(SEARCH("symptomatic",$C37))),"Symptomatic","DMT")</f>
        <v/>
      </c>
      <c r="Z37">
        <f>IF(OR(ISNUMBER(SEARCH("5-HT6",$C37)),ISNUMBER(SEARCH("Histamine H3",$C37)),ISNUMBER(SEARCH("H3 receptor",$C37)),ISNUMBER(SEARCH("Muscarinic",$C37)),ISNUMBER(SEARCH("Nicotinic",$C37))),2,0)</f>
        <v/>
      </c>
    </row>
    <row r="38">
      <c r="A38" s="5" t="n">
        <v>1</v>
      </c>
      <c r="B38" s="6" t="inlineStr">
        <is>
          <t>CAD106</t>
        </is>
      </c>
      <c r="C38" s="7" t="inlineStr">
        <is>
          <t>Active Aβ immunotherapy</t>
        </is>
      </c>
      <c r="D38" s="7" t="inlineStr">
        <is>
          <t>Early AD / prevention studies</t>
        </is>
      </c>
      <c r="E38" s="7" t="inlineStr">
        <is>
          <t>Discontinued / no successful late-stage outcome</t>
        </is>
      </c>
      <c r="F38" s="7" t="inlineStr">
        <is>
          <t>Efficacy</t>
        </is>
      </c>
      <c r="G38" s="7" t="inlineStr">
        <is>
          <t>Pleiotropy/toxicity=1; Wrong species=1; Target engagement hard=1; Safety burden=2; Ancestry modifier unmodeled=1</t>
        </is>
      </c>
      <c r="H38" s="6" t="inlineStr">
        <is>
          <t>Medium</t>
        </is>
      </c>
      <c r="I38" s="7" t="inlineStr"/>
      <c r="J38" s="5" t="inlineStr">
        <is>
          <t>Unknown</t>
        </is>
      </c>
      <c r="K38" s="5" t="inlineStr">
        <is>
          <t>Unknown</t>
        </is>
      </c>
      <c r="L38" s="5" t="inlineStr">
        <is>
          <t>Unknown</t>
        </is>
      </c>
      <c r="M38" s="8" t="n"/>
      <c r="N38" s="5" t="n">
        <v>1</v>
      </c>
      <c r="O38" s="5" t="n">
        <v>1</v>
      </c>
      <c r="P38" s="5" t="n">
        <v>0</v>
      </c>
      <c r="Q38" s="5" t="n">
        <v>0</v>
      </c>
      <c r="R38" s="5" t="n">
        <v>1</v>
      </c>
      <c r="S38" s="5" t="n">
        <v>2</v>
      </c>
      <c r="T38" s="5" t="n">
        <v>0</v>
      </c>
      <c r="U38" s="5" t="n">
        <v>1</v>
      </c>
      <c r="V38" s="6">
        <f>SUM(N38:U38)+Z38</f>
        <v/>
      </c>
      <c r="W38" s="6">
        <f>IF(V38&lt;=Params!$B$2,"Low",IF(V38&lt;=Params!$B$3,"Medium","High"))</f>
        <v/>
      </c>
      <c r="X38" s="6">
        <f>IF(W38="High",1,0)</f>
        <v/>
      </c>
      <c r="Y38">
        <f>IF(OR(ISNUMBER(SEARCH("Cholinesterase",$C38)),ISNUMBER(SEARCH("NMDA",$C38)),ISNUMBER(SEARCH("5-HT6",$C38)),ISNUMBER(SEARCH("H3",$C38)),ISNUMBER(SEARCH("Muscarinic",$C38)),ISNUMBER(SEARCH("Nicotinic",$C38)),ISNUMBER(SEARCH("ampakine",$C38)),ISNUMBER(SEARCH("antipsychotic",$C38)),ISNUMBER(SEARCH("symptomatic",$C38))),"Symptomatic","DMT")</f>
        <v/>
      </c>
      <c r="Z38">
        <f>IF(OR(ISNUMBER(SEARCH("5-HT6",$C38)),ISNUMBER(SEARCH("Histamine H3",$C38)),ISNUMBER(SEARCH("H3 receptor",$C38)),ISNUMBER(SEARCH("Muscarinic",$C38)),ISNUMBER(SEARCH("Nicotinic",$C38))),2,0)</f>
        <v/>
      </c>
    </row>
    <row r="39">
      <c r="A39" s="5" t="n">
        <v>1</v>
      </c>
      <c r="B39" s="6" t="inlineStr">
        <is>
          <t>ACC-001 (Vanutide cridificar)</t>
        </is>
      </c>
      <c r="C39" s="7" t="inlineStr">
        <is>
          <t>Active Aβ immunotherapy</t>
        </is>
      </c>
      <c r="D39" s="7" t="inlineStr">
        <is>
          <t>Mild–moderate AD dementia</t>
        </is>
      </c>
      <c r="E39" s="7" t="inlineStr">
        <is>
          <t>Development discontinued</t>
        </is>
      </c>
      <c r="F39" s="7" t="inlineStr">
        <is>
          <t>Safety + efficacy</t>
        </is>
      </c>
      <c r="G39" s="7" t="inlineStr">
        <is>
          <t>Pleiotropy/toxicity=1; Wrong species=1; Stage mismatch=2; Target engagement hard=1; Safety burden=2; Ancestry modifier unmodeled=1</t>
        </is>
      </c>
      <c r="H39" s="6" t="inlineStr">
        <is>
          <t>Medium</t>
        </is>
      </c>
      <c r="I39" s="7" t="inlineStr"/>
      <c r="J39" s="5" t="inlineStr">
        <is>
          <t>Unknown</t>
        </is>
      </c>
      <c r="K39" s="5" t="inlineStr">
        <is>
          <t>Unknown</t>
        </is>
      </c>
      <c r="L39" s="5" t="inlineStr">
        <is>
          <t>Unknown</t>
        </is>
      </c>
      <c r="M39" s="8" t="n"/>
      <c r="N39" s="5" t="n">
        <v>1</v>
      </c>
      <c r="O39" s="5" t="n">
        <v>1</v>
      </c>
      <c r="P39" s="5" t="n">
        <v>2</v>
      </c>
      <c r="Q39" s="5" t="n">
        <v>0</v>
      </c>
      <c r="R39" s="5" t="n">
        <v>1</v>
      </c>
      <c r="S39" s="5" t="n">
        <v>2</v>
      </c>
      <c r="T39" s="5" t="n">
        <v>0</v>
      </c>
      <c r="U39" s="5" t="n">
        <v>1</v>
      </c>
      <c r="V39" s="6">
        <f>SUM(N39:U39)+Z39</f>
        <v/>
      </c>
      <c r="W39" s="6">
        <f>IF(V39&lt;=Params!$B$2,"Low",IF(V39&lt;=Params!$B$3,"Medium","High"))</f>
        <v/>
      </c>
      <c r="X39" s="6">
        <f>IF(W39="High",1,0)</f>
        <v/>
      </c>
      <c r="Y39">
        <f>IF(OR(ISNUMBER(SEARCH("Cholinesterase",$C39)),ISNUMBER(SEARCH("NMDA",$C39)),ISNUMBER(SEARCH("5-HT6",$C39)),ISNUMBER(SEARCH("H3",$C39)),ISNUMBER(SEARCH("Muscarinic",$C39)),ISNUMBER(SEARCH("Nicotinic",$C39)),ISNUMBER(SEARCH("ampakine",$C39)),ISNUMBER(SEARCH("antipsychotic",$C39)),ISNUMBER(SEARCH("symptomatic",$C39))),"Symptomatic","DMT")</f>
        <v/>
      </c>
      <c r="Z39">
        <f>IF(OR(ISNUMBER(SEARCH("5-HT6",$C39)),ISNUMBER(SEARCH("Histamine H3",$C39)),ISNUMBER(SEARCH("H3 receptor",$C39)),ISNUMBER(SEARCH("Muscarinic",$C39)),ISNUMBER(SEARCH("Nicotinic",$C39))),2,0)</f>
        <v/>
      </c>
    </row>
    <row r="40">
      <c r="A40" s="5" t="n">
        <v>1</v>
      </c>
      <c r="B40" s="6" t="inlineStr">
        <is>
          <t>Affitope AD02</t>
        </is>
      </c>
      <c r="C40" s="7" t="inlineStr">
        <is>
          <t>Active Aβ immunotherapy</t>
        </is>
      </c>
      <c r="D40" s="7" t="inlineStr">
        <is>
          <t>Mild AD dementia</t>
        </is>
      </c>
      <c r="E40" s="7" t="inlineStr">
        <is>
          <t>Failed clinical development</t>
        </is>
      </c>
      <c r="F40" s="7" t="inlineStr">
        <is>
          <t>Efficacy</t>
        </is>
      </c>
      <c r="G40" s="7" t="inlineStr">
        <is>
          <t>Pleiotropy/toxicity=1; Wrong species=1; Stage mismatch=1; Target engagement hard=1; Safety burden=2; Ancestry modifier unmodeled=1</t>
        </is>
      </c>
      <c r="H40" s="6" t="inlineStr">
        <is>
          <t>Medium</t>
        </is>
      </c>
      <c r="I40" s="7" t="inlineStr"/>
      <c r="J40" s="5" t="inlineStr">
        <is>
          <t>Unknown</t>
        </is>
      </c>
      <c r="K40" s="5" t="inlineStr">
        <is>
          <t>Unknown</t>
        </is>
      </c>
      <c r="L40" s="5" t="inlineStr">
        <is>
          <t>Unknown</t>
        </is>
      </c>
      <c r="M40" s="8" t="n"/>
      <c r="N40" s="5" t="n">
        <v>1</v>
      </c>
      <c r="O40" s="5" t="n">
        <v>1</v>
      </c>
      <c r="P40" s="5" t="n">
        <v>1</v>
      </c>
      <c r="Q40" s="5" t="n">
        <v>0</v>
      </c>
      <c r="R40" s="5" t="n">
        <v>1</v>
      </c>
      <c r="S40" s="5" t="n">
        <v>2</v>
      </c>
      <c r="T40" s="5" t="n">
        <v>0</v>
      </c>
      <c r="U40" s="5" t="n">
        <v>1</v>
      </c>
      <c r="V40" s="6">
        <f>SUM(N40:U40)+Z40</f>
        <v/>
      </c>
      <c r="W40" s="6">
        <f>IF(V40&lt;=Params!$B$2,"Low",IF(V40&lt;=Params!$B$3,"Medium","High"))</f>
        <v/>
      </c>
      <c r="X40" s="6">
        <f>IF(W40="High",1,0)</f>
        <v/>
      </c>
      <c r="Y40">
        <f>IF(OR(ISNUMBER(SEARCH("Cholinesterase",$C40)),ISNUMBER(SEARCH("NMDA",$C40)),ISNUMBER(SEARCH("5-HT6",$C40)),ISNUMBER(SEARCH("H3",$C40)),ISNUMBER(SEARCH("Muscarinic",$C40)),ISNUMBER(SEARCH("Nicotinic",$C40)),ISNUMBER(SEARCH("ampakine",$C40)),ISNUMBER(SEARCH("antipsychotic",$C40)),ISNUMBER(SEARCH("symptomatic",$C40))),"Symptomatic","DMT")</f>
        <v/>
      </c>
      <c r="Z40">
        <f>IF(OR(ISNUMBER(SEARCH("5-HT6",$C40)),ISNUMBER(SEARCH("Histamine H3",$C40)),ISNUMBER(SEARCH("H3 receptor",$C40)),ISNUMBER(SEARCH("Muscarinic",$C40)),ISNUMBER(SEARCH("Nicotinic",$C40))),2,0)</f>
        <v/>
      </c>
    </row>
    <row r="41">
      <c r="A41" s="5" t="n">
        <v>1</v>
      </c>
      <c r="B41" s="6" t="inlineStr">
        <is>
          <t>AAB-003</t>
        </is>
      </c>
      <c r="C41" s="7" t="inlineStr">
        <is>
          <t>Anti-Aβ monoclonal antibody</t>
        </is>
      </c>
      <c r="D41" s="7" t="inlineStr">
        <is>
          <t>Mild–moderate AD dementia</t>
        </is>
      </c>
      <c r="E41" s="7" t="inlineStr">
        <is>
          <t>Discontinued / no successful pivotal outcome</t>
        </is>
      </c>
      <c r="F41" s="7" t="inlineStr">
        <is>
          <t>Efficacy</t>
        </is>
      </c>
      <c r="G41" s="7" t="inlineStr">
        <is>
          <t>Wrong species=1; Stage mismatch=2; Safety burden=2</t>
        </is>
      </c>
      <c r="H41" s="6" t="inlineStr">
        <is>
          <t>Medium</t>
        </is>
      </c>
      <c r="I41" s="7" t="inlineStr"/>
      <c r="J41" s="5" t="inlineStr">
        <is>
          <t>Unknown</t>
        </is>
      </c>
      <c r="K41" s="5" t="inlineStr">
        <is>
          <t>Unknown</t>
        </is>
      </c>
      <c r="L41" s="5" t="inlineStr">
        <is>
          <t>Yes</t>
        </is>
      </c>
      <c r="M41" s="8" t="n"/>
      <c r="N41" s="5" t="n">
        <v>0</v>
      </c>
      <c r="O41" s="5" t="n">
        <v>1</v>
      </c>
      <c r="P41" s="5" t="n">
        <v>2</v>
      </c>
      <c r="Q41" s="5" t="n">
        <v>0</v>
      </c>
      <c r="R41" s="5" t="n">
        <v>0</v>
      </c>
      <c r="S41" s="5" t="n">
        <v>2</v>
      </c>
      <c r="T41" s="5" t="n">
        <v>0</v>
      </c>
      <c r="U41" s="5" t="n">
        <v>0</v>
      </c>
      <c r="V41" s="6">
        <f>SUM(N41:U41)+Z41</f>
        <v/>
      </c>
      <c r="W41" s="6">
        <f>IF(V41&lt;=Params!$B$2,"Low",IF(V41&lt;=Params!$B$3,"Medium","High"))</f>
        <v/>
      </c>
      <c r="X41" s="6">
        <f>IF(W41="High",1,0)</f>
        <v/>
      </c>
      <c r="Y41">
        <f>IF(OR(ISNUMBER(SEARCH("Cholinesterase",$C41)),ISNUMBER(SEARCH("NMDA",$C41)),ISNUMBER(SEARCH("5-HT6",$C41)),ISNUMBER(SEARCH("H3",$C41)),ISNUMBER(SEARCH("Muscarinic",$C41)),ISNUMBER(SEARCH("Nicotinic",$C41)),ISNUMBER(SEARCH("ampakine",$C41)),ISNUMBER(SEARCH("antipsychotic",$C41)),ISNUMBER(SEARCH("symptomatic",$C41))),"Symptomatic","DMT")</f>
        <v/>
      </c>
      <c r="Z41">
        <f>IF(OR(ISNUMBER(SEARCH("5-HT6",$C41)),ISNUMBER(SEARCH("Histamine H3",$C41)),ISNUMBER(SEARCH("H3 receptor",$C41)),ISNUMBER(SEARCH("Muscarinic",$C41)),ISNUMBER(SEARCH("Nicotinic",$C41))),2,0)</f>
        <v/>
      </c>
    </row>
    <row r="42">
      <c r="A42" s="5" t="n">
        <v>1</v>
      </c>
      <c r="B42" s="6" t="inlineStr">
        <is>
          <t>GSK933776</t>
        </is>
      </c>
      <c r="C42" s="7" t="inlineStr">
        <is>
          <t>Anti-Aβ monoclonal antibody</t>
        </is>
      </c>
      <c r="D42" s="7" t="inlineStr">
        <is>
          <t>Mild–moderate AD dementia</t>
        </is>
      </c>
      <c r="E42" s="7" t="inlineStr">
        <is>
          <t>Discontinued / no successful pivotal outcome</t>
        </is>
      </c>
      <c r="F42" s="7" t="inlineStr">
        <is>
          <t>Efficacy</t>
        </is>
      </c>
      <c r="G42" s="7" t="inlineStr">
        <is>
          <t>Wrong species=1; Stage mismatch=2; Safety burden=2; Ancestry modifier unmodeled=1</t>
        </is>
      </c>
      <c r="H42" s="6" t="inlineStr">
        <is>
          <t>Medium</t>
        </is>
      </c>
      <c r="I42" s="7" t="inlineStr"/>
      <c r="J42" s="5" t="inlineStr">
        <is>
          <t>Unknown</t>
        </is>
      </c>
      <c r="K42" s="5" t="inlineStr">
        <is>
          <t>Unknown</t>
        </is>
      </c>
      <c r="L42" s="5" t="inlineStr">
        <is>
          <t>Unknown</t>
        </is>
      </c>
      <c r="M42" s="8" t="n"/>
      <c r="N42" s="5" t="n">
        <v>0</v>
      </c>
      <c r="O42" s="5" t="n">
        <v>1</v>
      </c>
      <c r="P42" s="5" t="n">
        <v>2</v>
      </c>
      <c r="Q42" s="5" t="n">
        <v>0</v>
      </c>
      <c r="R42" s="5" t="n">
        <v>0</v>
      </c>
      <c r="S42" s="5" t="n">
        <v>2</v>
      </c>
      <c r="T42" s="5" t="n">
        <v>0</v>
      </c>
      <c r="U42" s="5" t="n">
        <v>1</v>
      </c>
      <c r="V42" s="6">
        <f>SUM(N42:U42)+Z42</f>
        <v/>
      </c>
      <c r="W42" s="6">
        <f>IF(V42&lt;=Params!$B$2,"Low",IF(V42&lt;=Params!$B$3,"Medium","High"))</f>
        <v/>
      </c>
      <c r="X42" s="6">
        <f>IF(W42="High",1,0)</f>
        <v/>
      </c>
      <c r="Y42">
        <f>IF(OR(ISNUMBER(SEARCH("Cholinesterase",$C42)),ISNUMBER(SEARCH("NMDA",$C42)),ISNUMBER(SEARCH("5-HT6",$C42)),ISNUMBER(SEARCH("H3",$C42)),ISNUMBER(SEARCH("Muscarinic",$C42)),ISNUMBER(SEARCH("Nicotinic",$C42)),ISNUMBER(SEARCH("ampakine",$C42)),ISNUMBER(SEARCH("antipsychotic",$C42)),ISNUMBER(SEARCH("symptomatic",$C42))),"Symptomatic","DMT")</f>
        <v/>
      </c>
      <c r="Z42">
        <f>IF(OR(ISNUMBER(SEARCH("5-HT6",$C42)),ISNUMBER(SEARCH("Histamine H3",$C42)),ISNUMBER(SEARCH("H3 receptor",$C42)),ISNUMBER(SEARCH("Muscarinic",$C42)),ISNUMBER(SEARCH("Nicotinic",$C42))),2,0)</f>
        <v/>
      </c>
    </row>
    <row r="43">
      <c r="A43" s="5" t="n">
        <v>1</v>
      </c>
      <c r="B43" s="6" t="inlineStr">
        <is>
          <t>Crenezumab (MABT5102A / RG7412)</t>
        </is>
      </c>
      <c r="C43" s="7" t="inlineStr">
        <is>
          <t>Anti-Aβ monoclonal antibody</t>
        </is>
      </c>
      <c r="D43" s="7" t="inlineStr">
        <is>
          <t>Prodromal / mild AD dementia</t>
        </is>
      </c>
      <c r="E43" s="7" t="inlineStr">
        <is>
          <t>Phase 3 stopped for futility / failed</t>
        </is>
      </c>
      <c r="F43" s="7" t="inlineStr">
        <is>
          <t>Efficacy</t>
        </is>
      </c>
      <c r="G43" s="7" t="inlineStr">
        <is>
          <t>Wrong species=1; Safety burden=2</t>
        </is>
      </c>
      <c r="H43" s="6" t="inlineStr">
        <is>
          <t>Low</t>
        </is>
      </c>
      <c r="I43" s="7" t="inlineStr"/>
      <c r="J43" s="5" t="inlineStr">
        <is>
          <t>Unknown</t>
        </is>
      </c>
      <c r="K43" s="5" t="inlineStr">
        <is>
          <t>Unknown</t>
        </is>
      </c>
      <c r="L43" s="5" t="inlineStr">
        <is>
          <t>Yes</t>
        </is>
      </c>
      <c r="M43" s="8" t="n"/>
      <c r="N43" s="5" t="n">
        <v>0</v>
      </c>
      <c r="O43" s="5" t="n">
        <v>1</v>
      </c>
      <c r="P43" s="5" t="n">
        <v>0</v>
      </c>
      <c r="Q43" s="5" t="n">
        <v>0</v>
      </c>
      <c r="R43" s="5" t="n">
        <v>0</v>
      </c>
      <c r="S43" s="5" t="n">
        <v>2</v>
      </c>
      <c r="T43" s="5" t="n">
        <v>0</v>
      </c>
      <c r="U43" s="5" t="n">
        <v>0</v>
      </c>
      <c r="V43" s="6">
        <f>SUM(N43:U43)+Z43</f>
        <v/>
      </c>
      <c r="W43" s="6">
        <f>IF(V43&lt;=Params!$B$2,"Low",IF(V43&lt;=Params!$B$3,"Medium","High"))</f>
        <v/>
      </c>
      <c r="X43" s="6">
        <f>IF(W43="High",1,0)</f>
        <v/>
      </c>
      <c r="Y43">
        <f>IF(OR(ISNUMBER(SEARCH("Cholinesterase",$C43)),ISNUMBER(SEARCH("NMDA",$C43)),ISNUMBER(SEARCH("5-HT6",$C43)),ISNUMBER(SEARCH("H3",$C43)),ISNUMBER(SEARCH("Muscarinic",$C43)),ISNUMBER(SEARCH("Nicotinic",$C43)),ISNUMBER(SEARCH("ampakine",$C43)),ISNUMBER(SEARCH("antipsychotic",$C43)),ISNUMBER(SEARCH("symptomatic",$C43))),"Symptomatic","DMT")</f>
        <v/>
      </c>
      <c r="Z43">
        <f>IF(OR(ISNUMBER(SEARCH("5-HT6",$C43)),ISNUMBER(SEARCH("Histamine H3",$C43)),ISNUMBER(SEARCH("H3 receptor",$C43)),ISNUMBER(SEARCH("Muscarinic",$C43)),ISNUMBER(SEARCH("Nicotinic",$C43))),2,0)</f>
        <v/>
      </c>
    </row>
    <row r="44">
      <c r="A44" s="5" t="n">
        <v>1</v>
      </c>
      <c r="B44" s="6" t="inlineStr">
        <is>
          <t>Ponezumab (PF-04360365)</t>
        </is>
      </c>
      <c r="C44" s="7" t="inlineStr">
        <is>
          <t>Anti-Aβ monoclonal antibody</t>
        </is>
      </c>
      <c r="D44" s="7" t="inlineStr">
        <is>
          <t>Mild–moderate AD dementia</t>
        </is>
      </c>
      <c r="E44" s="7" t="inlineStr">
        <is>
          <t>Failed clinical development</t>
        </is>
      </c>
      <c r="F44" s="7" t="inlineStr">
        <is>
          <t>Efficacy</t>
        </is>
      </c>
      <c r="G44" s="7" t="inlineStr">
        <is>
          <t>Wrong species=1; Stage mismatch=2; Safety burden=2</t>
        </is>
      </c>
      <c r="H44" s="6" t="inlineStr">
        <is>
          <t>Medium</t>
        </is>
      </c>
      <c r="I44" s="7" t="inlineStr"/>
      <c r="J44" s="5" t="inlineStr">
        <is>
          <t>Unknown</t>
        </is>
      </c>
      <c r="K44" s="5" t="inlineStr">
        <is>
          <t>Unknown</t>
        </is>
      </c>
      <c r="L44" s="5" t="inlineStr">
        <is>
          <t>Yes</t>
        </is>
      </c>
      <c r="M44" s="8" t="n"/>
      <c r="N44" s="5" t="n">
        <v>0</v>
      </c>
      <c r="O44" s="5" t="n">
        <v>1</v>
      </c>
      <c r="P44" s="5" t="n">
        <v>2</v>
      </c>
      <c r="Q44" s="5" t="n">
        <v>0</v>
      </c>
      <c r="R44" s="5" t="n">
        <v>0</v>
      </c>
      <c r="S44" s="5" t="n">
        <v>2</v>
      </c>
      <c r="T44" s="5" t="n">
        <v>0</v>
      </c>
      <c r="U44" s="5" t="n">
        <v>0</v>
      </c>
      <c r="V44" s="6">
        <f>SUM(N44:U44)+Z44</f>
        <v/>
      </c>
      <c r="W44" s="6">
        <f>IF(V44&lt;=Params!$B$2,"Low",IF(V44&lt;=Params!$B$3,"Medium","High"))</f>
        <v/>
      </c>
      <c r="X44" s="6">
        <f>IF(W44="High",1,0)</f>
        <v/>
      </c>
      <c r="Y44">
        <f>IF(OR(ISNUMBER(SEARCH("Cholinesterase",$C44)),ISNUMBER(SEARCH("NMDA",$C44)),ISNUMBER(SEARCH("5-HT6",$C44)),ISNUMBER(SEARCH("H3",$C44)),ISNUMBER(SEARCH("Muscarinic",$C44)),ISNUMBER(SEARCH("Nicotinic",$C44)),ISNUMBER(SEARCH("ampakine",$C44)),ISNUMBER(SEARCH("antipsychotic",$C44)),ISNUMBER(SEARCH("symptomatic",$C44))),"Symptomatic","DMT")</f>
        <v/>
      </c>
      <c r="Z44">
        <f>IF(OR(ISNUMBER(SEARCH("5-HT6",$C44)),ISNUMBER(SEARCH("Histamine H3",$C44)),ISNUMBER(SEARCH("H3 receptor",$C44)),ISNUMBER(SEARCH("Muscarinic",$C44)),ISNUMBER(SEARCH("Nicotinic",$C44))),2,0)</f>
        <v/>
      </c>
    </row>
    <row r="45">
      <c r="A45" s="5" t="n">
        <v>1</v>
      </c>
      <c r="B45" s="6" t="inlineStr">
        <is>
          <t>Epothilone D (BMS-241027)</t>
        </is>
      </c>
      <c r="C45" s="7" t="inlineStr">
        <is>
          <t>Microtubule stabilizer</t>
        </is>
      </c>
      <c r="D45" s="7" t="inlineStr">
        <is>
          <t>Mild AD dementia</t>
        </is>
      </c>
      <c r="E45" s="7" t="inlineStr">
        <is>
          <t>Discontinued (no efficacy / tolerability)</t>
        </is>
      </c>
      <c r="F45" s="7" t="inlineStr">
        <is>
          <t>Safety + efficacy</t>
        </is>
      </c>
      <c r="G45" s="7" t="inlineStr">
        <is>
          <t>Pleiotropy/toxicity=2; Stage mismatch=1; Human causality weak=1; Target engagement hard=2; Safety burden=2</t>
        </is>
      </c>
      <c r="H45" s="6" t="inlineStr">
        <is>
          <t>Medium</t>
        </is>
      </c>
      <c r="I45" s="7" t="inlineStr"/>
      <c r="J45" s="5" t="inlineStr">
        <is>
          <t>Unknown</t>
        </is>
      </c>
      <c r="K45" s="5" t="inlineStr">
        <is>
          <t>Unknown</t>
        </is>
      </c>
      <c r="L45" s="5" t="inlineStr">
        <is>
          <t>Unknown</t>
        </is>
      </c>
      <c r="M45" s="8" t="n"/>
      <c r="N45" s="5" t="n">
        <v>2</v>
      </c>
      <c r="O45" s="5" t="n">
        <v>0</v>
      </c>
      <c r="P45" s="5" t="n">
        <v>1</v>
      </c>
      <c r="Q45" s="5" t="n">
        <v>1</v>
      </c>
      <c r="R45" s="5" t="n">
        <v>2</v>
      </c>
      <c r="S45" s="5" t="n">
        <v>2</v>
      </c>
      <c r="T45" s="5" t="n">
        <v>0</v>
      </c>
      <c r="U45" s="5" t="n">
        <v>0</v>
      </c>
      <c r="V45" s="6">
        <f>SUM(N45:U45)+Z45</f>
        <v/>
      </c>
      <c r="W45" s="6">
        <f>IF(V45&lt;=Params!$B$2,"Low",IF(V45&lt;=Params!$B$3,"Medium","High"))</f>
        <v/>
      </c>
      <c r="X45" s="6">
        <f>IF(W45="High",1,0)</f>
        <v/>
      </c>
      <c r="Y45">
        <f>IF(OR(ISNUMBER(SEARCH("Cholinesterase",$C45)),ISNUMBER(SEARCH("NMDA",$C45)),ISNUMBER(SEARCH("5-HT6",$C45)),ISNUMBER(SEARCH("H3",$C45)),ISNUMBER(SEARCH("Muscarinic",$C45)),ISNUMBER(SEARCH("Nicotinic",$C45)),ISNUMBER(SEARCH("ampakine",$C45)),ISNUMBER(SEARCH("antipsychotic",$C45)),ISNUMBER(SEARCH("symptomatic",$C45))),"Symptomatic","DMT")</f>
        <v/>
      </c>
      <c r="Z45">
        <f>IF(OR(ISNUMBER(SEARCH("5-HT6",$C45)),ISNUMBER(SEARCH("Histamine H3",$C45)),ISNUMBER(SEARCH("H3 receptor",$C45)),ISNUMBER(SEARCH("Muscarinic",$C45)),ISNUMBER(SEARCH("Nicotinic",$C45))),2,0)</f>
        <v/>
      </c>
    </row>
    <row r="46">
      <c r="A46" s="5" t="n">
        <v>1</v>
      </c>
      <c r="B46" s="6" t="inlineStr">
        <is>
          <t>TPI-287</t>
        </is>
      </c>
      <c r="C46" s="7" t="inlineStr">
        <is>
          <t>Microtubule stabilizer</t>
        </is>
      </c>
      <c r="D46" s="7" t="inlineStr">
        <is>
          <t>Mild–moderate AD dementia</t>
        </is>
      </c>
      <c r="E46" s="7" t="inlineStr">
        <is>
          <t>Discontinued</t>
        </is>
      </c>
      <c r="F46" s="7" t="inlineStr">
        <is>
          <t>Safety + efficacy</t>
        </is>
      </c>
      <c r="G46" s="7" t="inlineStr">
        <is>
          <t>Pleiotropy/toxicity=2; Stage mismatch=2; Human causality weak=1; Target engagement hard=2; Safety burden=2</t>
        </is>
      </c>
      <c r="H46" s="6" t="inlineStr">
        <is>
          <t>Medium</t>
        </is>
      </c>
      <c r="I46" s="7" t="inlineStr"/>
      <c r="J46" s="5" t="inlineStr">
        <is>
          <t>Unknown</t>
        </is>
      </c>
      <c r="K46" s="5" t="inlineStr">
        <is>
          <t>Unknown</t>
        </is>
      </c>
      <c r="L46" s="5" t="inlineStr">
        <is>
          <t>Unknown</t>
        </is>
      </c>
      <c r="M46" s="8" t="n"/>
      <c r="N46" s="5" t="n">
        <v>2</v>
      </c>
      <c r="O46" s="5" t="n">
        <v>0</v>
      </c>
      <c r="P46" s="5" t="n">
        <v>2</v>
      </c>
      <c r="Q46" s="5" t="n">
        <v>1</v>
      </c>
      <c r="R46" s="5" t="n">
        <v>2</v>
      </c>
      <c r="S46" s="5" t="n">
        <v>2</v>
      </c>
      <c r="T46" s="5" t="n">
        <v>0</v>
      </c>
      <c r="U46" s="5" t="n">
        <v>0</v>
      </c>
      <c r="V46" s="6">
        <f>SUM(N46:U46)+Z46</f>
        <v/>
      </c>
      <c r="W46" s="6">
        <f>IF(V46&lt;=Params!$B$2,"Low",IF(V46&lt;=Params!$B$3,"Medium","High"))</f>
        <v/>
      </c>
      <c r="X46" s="6">
        <f>IF(W46="High",1,0)</f>
        <v/>
      </c>
      <c r="Y46">
        <f>IF(OR(ISNUMBER(SEARCH("Cholinesterase",$C46)),ISNUMBER(SEARCH("NMDA",$C46)),ISNUMBER(SEARCH("5-HT6",$C46)),ISNUMBER(SEARCH("H3",$C46)),ISNUMBER(SEARCH("Muscarinic",$C46)),ISNUMBER(SEARCH("Nicotinic",$C46)),ISNUMBER(SEARCH("ampakine",$C46)),ISNUMBER(SEARCH("antipsychotic",$C46)),ISNUMBER(SEARCH("symptomatic",$C46))),"Symptomatic","DMT")</f>
        <v/>
      </c>
      <c r="Z46">
        <f>IF(OR(ISNUMBER(SEARCH("5-HT6",$C46)),ISNUMBER(SEARCH("Histamine H3",$C46)),ISNUMBER(SEARCH("H3 receptor",$C46)),ISNUMBER(SEARCH("Muscarinic",$C46)),ISNUMBER(SEARCH("Nicotinic",$C46))),2,0)</f>
        <v/>
      </c>
    </row>
    <row r="47">
      <c r="A47" s="5" t="n">
        <v>1</v>
      </c>
      <c r="B47" s="6" t="inlineStr">
        <is>
          <t>Rember (methylene blue)</t>
        </is>
      </c>
      <c r="C47" s="7" t="inlineStr">
        <is>
          <t>Tau aggregation inhibitor</t>
        </is>
      </c>
      <c r="D47" s="7" t="inlineStr">
        <is>
          <t>Mild–moderate AD dementia</t>
        </is>
      </c>
      <c r="E47" s="7" t="inlineStr">
        <is>
          <t>Failed/abandoned in AD</t>
        </is>
      </c>
      <c r="F47" s="7" t="inlineStr">
        <is>
          <t>Efficacy</t>
        </is>
      </c>
      <c r="G47" s="7" t="inlineStr">
        <is>
          <t>Pleiotropy/toxicity=1; Wrong species=1; Stage mismatch=1; Human causality weak=1; Target engagement hard=2; Safety burden=1</t>
        </is>
      </c>
      <c r="H47" s="6" t="inlineStr">
        <is>
          <t>Medium</t>
        </is>
      </c>
      <c r="I47" s="7" t="inlineStr"/>
      <c r="J47" s="5" t="inlineStr">
        <is>
          <t>Unknown</t>
        </is>
      </c>
      <c r="K47" s="5" t="inlineStr">
        <is>
          <t>Unknown</t>
        </is>
      </c>
      <c r="L47" s="5" t="inlineStr">
        <is>
          <t>Unknown</t>
        </is>
      </c>
      <c r="M47" s="8" t="n"/>
      <c r="N47" s="5" t="n">
        <v>1</v>
      </c>
      <c r="O47" s="5" t="n">
        <v>1</v>
      </c>
      <c r="P47" s="5" t="n">
        <v>1</v>
      </c>
      <c r="Q47" s="5" t="n">
        <v>1</v>
      </c>
      <c r="R47" s="5" t="n">
        <v>2</v>
      </c>
      <c r="S47" s="5" t="n">
        <v>1</v>
      </c>
      <c r="T47" s="5" t="n">
        <v>0</v>
      </c>
      <c r="U47" s="5" t="n">
        <v>0</v>
      </c>
      <c r="V47" s="6">
        <f>SUM(N47:U47)+Z47</f>
        <v/>
      </c>
      <c r="W47" s="6">
        <f>IF(V47&lt;=Params!$B$2,"Low",IF(V47&lt;=Params!$B$3,"Medium","High"))</f>
        <v/>
      </c>
      <c r="X47" s="6">
        <f>IF(W47="High",1,0)</f>
        <v/>
      </c>
      <c r="Y47">
        <f>IF(OR(ISNUMBER(SEARCH("Cholinesterase",$C47)),ISNUMBER(SEARCH("NMDA",$C47)),ISNUMBER(SEARCH("5-HT6",$C47)),ISNUMBER(SEARCH("H3",$C47)),ISNUMBER(SEARCH("Muscarinic",$C47)),ISNUMBER(SEARCH("Nicotinic",$C47)),ISNUMBER(SEARCH("ampakine",$C47)),ISNUMBER(SEARCH("antipsychotic",$C47)),ISNUMBER(SEARCH("symptomatic",$C47))),"Symptomatic","DMT")</f>
        <v/>
      </c>
      <c r="Z47">
        <f>IF(OR(ISNUMBER(SEARCH("5-HT6",$C47)),ISNUMBER(SEARCH("Histamine H3",$C47)),ISNUMBER(SEARCH("H3 receptor",$C47)),ISNUMBER(SEARCH("Muscarinic",$C47)),ISNUMBER(SEARCH("Nicotinic",$C47))),2,0)</f>
        <v/>
      </c>
    </row>
    <row r="48">
      <c r="A48" s="5" t="n">
        <v>1</v>
      </c>
      <c r="B48" s="6" t="inlineStr">
        <is>
          <t>LMTM (TRx0237 / hydromethylthionine)</t>
        </is>
      </c>
      <c r="C48" s="7" t="inlineStr">
        <is>
          <t>Tau aggregation inhibitor</t>
        </is>
      </c>
      <c r="D48" s="7" t="inlineStr">
        <is>
          <t>Mild–moderate AD dementia</t>
        </is>
      </c>
      <c r="E48" s="7" t="inlineStr">
        <is>
          <t>Phase 3 negative / no approval</t>
        </is>
      </c>
      <c r="F48" s="7" t="inlineStr">
        <is>
          <t>Efficacy</t>
        </is>
      </c>
      <c r="G48" s="7" t="inlineStr">
        <is>
          <t>Pleiotropy/toxicity=1; Wrong species=1; Stage mismatch=1; Human causality weak=1; Target engagement hard=2; Safety burden=1</t>
        </is>
      </c>
      <c r="H48" s="6" t="inlineStr">
        <is>
          <t>Medium</t>
        </is>
      </c>
      <c r="I48" s="7" t="inlineStr"/>
      <c r="J48" s="5" t="inlineStr">
        <is>
          <t>Unknown</t>
        </is>
      </c>
      <c r="K48" s="5" t="inlineStr">
        <is>
          <t>Unknown</t>
        </is>
      </c>
      <c r="L48" s="5" t="inlineStr">
        <is>
          <t>Unknown</t>
        </is>
      </c>
      <c r="M48" s="8" t="n"/>
      <c r="N48" s="5" t="n">
        <v>1</v>
      </c>
      <c r="O48" s="5" t="n">
        <v>1</v>
      </c>
      <c r="P48" s="5" t="n">
        <v>1</v>
      </c>
      <c r="Q48" s="5" t="n">
        <v>1</v>
      </c>
      <c r="R48" s="5" t="n">
        <v>2</v>
      </c>
      <c r="S48" s="5" t="n">
        <v>1</v>
      </c>
      <c r="T48" s="5" t="n">
        <v>0</v>
      </c>
      <c r="U48" s="5" t="n">
        <v>0</v>
      </c>
      <c r="V48" s="6">
        <f>SUM(N48:U48)+Z48</f>
        <v/>
      </c>
      <c r="W48" s="6">
        <f>IF(V48&lt;=Params!$B$2,"Low",IF(V48&lt;=Params!$B$3,"Medium","High"))</f>
        <v/>
      </c>
      <c r="X48" s="6">
        <f>IF(W48="High",1,0)</f>
        <v/>
      </c>
      <c r="Y48">
        <f>IF(OR(ISNUMBER(SEARCH("Cholinesterase",$C48)),ISNUMBER(SEARCH("NMDA",$C48)),ISNUMBER(SEARCH("5-HT6",$C48)),ISNUMBER(SEARCH("H3",$C48)),ISNUMBER(SEARCH("Muscarinic",$C48)),ISNUMBER(SEARCH("Nicotinic",$C48)),ISNUMBER(SEARCH("ampakine",$C48)),ISNUMBER(SEARCH("antipsychotic",$C48)),ISNUMBER(SEARCH("symptomatic",$C48))),"Symptomatic","DMT")</f>
        <v/>
      </c>
      <c r="Z48">
        <f>IF(OR(ISNUMBER(SEARCH("5-HT6",$C48)),ISNUMBER(SEARCH("Histamine H3",$C48)),ISNUMBER(SEARCH("H3 receptor",$C48)),ISNUMBER(SEARCH("Muscarinic",$C48)),ISNUMBER(SEARCH("Nicotinic",$C48))),2,0)</f>
        <v/>
      </c>
    </row>
    <row r="49">
      <c r="A49" s="5" t="n">
        <v>1</v>
      </c>
      <c r="B49" s="6" t="inlineStr">
        <is>
          <t>PBT2</t>
        </is>
      </c>
      <c r="C49" s="7" t="inlineStr">
        <is>
          <t>Metal-protein attenuating compound</t>
        </is>
      </c>
      <c r="D49" s="7" t="inlineStr">
        <is>
          <t>Mild AD dementia</t>
        </is>
      </c>
      <c r="E49" s="7" t="inlineStr">
        <is>
          <t>Failed clinical development</t>
        </is>
      </c>
      <c r="F49" s="7" t="inlineStr">
        <is>
          <t>Efficacy</t>
        </is>
      </c>
      <c r="G49" s="7" t="inlineStr">
        <is>
          <t>Pleiotropy/toxicity=2; Stage mismatch=1; Human causality weak=2; Target engagement hard=2; Safety burden=2</t>
        </is>
      </c>
      <c r="H49" s="6" t="inlineStr">
        <is>
          <t>Medium</t>
        </is>
      </c>
      <c r="I49" s="7" t="inlineStr"/>
      <c r="J49" s="5" t="inlineStr">
        <is>
          <t>Unknown</t>
        </is>
      </c>
      <c r="K49" s="5" t="inlineStr">
        <is>
          <t>Unknown</t>
        </is>
      </c>
      <c r="L49" s="5" t="inlineStr">
        <is>
          <t>Unknown</t>
        </is>
      </c>
      <c r="M49" s="8" t="n"/>
      <c r="N49" s="5" t="n">
        <v>2</v>
      </c>
      <c r="O49" s="5" t="n">
        <v>0</v>
      </c>
      <c r="P49" s="5" t="n">
        <v>1</v>
      </c>
      <c r="Q49" s="5" t="n">
        <v>2</v>
      </c>
      <c r="R49" s="5" t="n">
        <v>2</v>
      </c>
      <c r="S49" s="5" t="n">
        <v>2</v>
      </c>
      <c r="T49" s="5" t="n">
        <v>0</v>
      </c>
      <c r="U49" s="5" t="n">
        <v>0</v>
      </c>
      <c r="V49" s="6">
        <f>SUM(N49:U49)+Z49</f>
        <v/>
      </c>
      <c r="W49" s="6">
        <f>IF(V49&lt;=Params!$B$2,"Low",IF(V49&lt;=Params!$B$3,"Medium","High"))</f>
        <v/>
      </c>
      <c r="X49" s="6">
        <f>IF(W49="High",1,0)</f>
        <v/>
      </c>
      <c r="Y49">
        <f>IF(OR(ISNUMBER(SEARCH("Cholinesterase",$C49)),ISNUMBER(SEARCH("NMDA",$C49)),ISNUMBER(SEARCH("5-HT6",$C49)),ISNUMBER(SEARCH("H3",$C49)),ISNUMBER(SEARCH("Muscarinic",$C49)),ISNUMBER(SEARCH("Nicotinic",$C49)),ISNUMBER(SEARCH("ampakine",$C49)),ISNUMBER(SEARCH("antipsychotic",$C49)),ISNUMBER(SEARCH("symptomatic",$C49))),"Symptomatic","DMT")</f>
        <v/>
      </c>
      <c r="Z49">
        <f>IF(OR(ISNUMBER(SEARCH("5-HT6",$C49)),ISNUMBER(SEARCH("Histamine H3",$C49)),ISNUMBER(SEARCH("H3 receptor",$C49)),ISNUMBER(SEARCH("Muscarinic",$C49)),ISNUMBER(SEARCH("Nicotinic",$C49))),2,0)</f>
        <v/>
      </c>
    </row>
    <row r="50">
      <c r="A50" s="5" t="n">
        <v>1</v>
      </c>
      <c r="B50" s="6" t="inlineStr">
        <is>
          <t>Azeliragon (TTP488)</t>
        </is>
      </c>
      <c r="C50" s="7" t="inlineStr">
        <is>
          <t>RAGE antagonist</t>
        </is>
      </c>
      <c r="D50" s="7" t="inlineStr">
        <is>
          <t>Mild–moderate AD dementia</t>
        </is>
      </c>
      <c r="E50" s="7" t="inlineStr">
        <is>
          <t>Failed Phase 3 / discontinued</t>
        </is>
      </c>
      <c r="F50" s="7" t="inlineStr">
        <is>
          <t>Efficacy</t>
        </is>
      </c>
      <c r="G50" s="7" t="inlineStr">
        <is>
          <t>Pleiotropy/toxicity=1; Stage mismatch=2; Human causality weak=1; Target engagement hard=2; Safety burden=1; Ancestry modifier unmodeled=1</t>
        </is>
      </c>
      <c r="H50" s="6" t="inlineStr">
        <is>
          <t>Medium</t>
        </is>
      </c>
      <c r="I50" s="7" t="inlineStr"/>
      <c r="J50" s="5" t="inlineStr">
        <is>
          <t>Unknown</t>
        </is>
      </c>
      <c r="K50" s="5" t="inlineStr">
        <is>
          <t>Unknown</t>
        </is>
      </c>
      <c r="L50" s="5" t="inlineStr">
        <is>
          <t>Unknown</t>
        </is>
      </c>
      <c r="M50" s="8" t="n"/>
      <c r="N50" s="5" t="n">
        <v>1</v>
      </c>
      <c r="O50" s="5" t="n">
        <v>0</v>
      </c>
      <c r="P50" s="5" t="n">
        <v>2</v>
      </c>
      <c r="Q50" s="5" t="n">
        <v>1</v>
      </c>
      <c r="R50" s="5" t="n">
        <v>2</v>
      </c>
      <c r="S50" s="5" t="n">
        <v>1</v>
      </c>
      <c r="T50" s="5" t="n">
        <v>0</v>
      </c>
      <c r="U50" s="5" t="n">
        <v>1</v>
      </c>
      <c r="V50" s="6">
        <f>SUM(N50:U50)+Z50</f>
        <v/>
      </c>
      <c r="W50" s="6">
        <f>IF(V50&lt;=Params!$B$2,"Low",IF(V50&lt;=Params!$B$3,"Medium","High"))</f>
        <v/>
      </c>
      <c r="X50" s="6">
        <f>IF(W50="High",1,0)</f>
        <v/>
      </c>
      <c r="Y50">
        <f>IF(OR(ISNUMBER(SEARCH("Cholinesterase",$C50)),ISNUMBER(SEARCH("NMDA",$C50)),ISNUMBER(SEARCH("5-HT6",$C50)),ISNUMBER(SEARCH("H3",$C50)),ISNUMBER(SEARCH("Muscarinic",$C50)),ISNUMBER(SEARCH("Nicotinic",$C50)),ISNUMBER(SEARCH("ampakine",$C50)),ISNUMBER(SEARCH("antipsychotic",$C50)),ISNUMBER(SEARCH("symptomatic",$C50))),"Symptomatic","DMT")</f>
        <v/>
      </c>
      <c r="Z50">
        <f>IF(OR(ISNUMBER(SEARCH("5-HT6",$C50)),ISNUMBER(SEARCH("Histamine H3",$C50)),ISNUMBER(SEARCH("H3 receptor",$C50)),ISNUMBER(SEARCH("Muscarinic",$C50)),ISNUMBER(SEARCH("Nicotinic",$C50))),2,0)</f>
        <v/>
      </c>
    </row>
    <row r="51">
      <c r="A51" s="5" t="n">
        <v>1</v>
      </c>
      <c r="B51" s="6" t="inlineStr">
        <is>
          <t>Ibuprofen</t>
        </is>
      </c>
      <c r="C51" s="7" t="inlineStr">
        <is>
          <t>NSAID (anti-inflammatory)</t>
        </is>
      </c>
      <c r="D51" s="7" t="inlineStr">
        <is>
          <t>AD dementia / prevention trials</t>
        </is>
      </c>
      <c r="E51" s="7" t="inlineStr">
        <is>
          <t>No clinical benefit in AD trials</t>
        </is>
      </c>
      <c r="F51" s="7" t="inlineStr">
        <is>
          <t>Efficacy</t>
        </is>
      </c>
      <c r="G51" s="7" t="inlineStr">
        <is>
          <t>Pleiotropy/toxicity=1; Human causality weak=2; Target engagement hard=2; Safety burden=1; Sex modifier unmodeled=1; Ancestry modifier unmodeled=1</t>
        </is>
      </c>
      <c r="H51" s="6" t="inlineStr">
        <is>
          <t>Medium</t>
        </is>
      </c>
      <c r="I51" s="7" t="inlineStr"/>
      <c r="J51" s="5" t="inlineStr">
        <is>
          <t>Unknown</t>
        </is>
      </c>
      <c r="K51" s="5" t="inlineStr">
        <is>
          <t>Unknown</t>
        </is>
      </c>
      <c r="L51" s="5" t="inlineStr">
        <is>
          <t>Unknown</t>
        </is>
      </c>
      <c r="M51" s="8" t="n"/>
      <c r="N51" s="5" t="n">
        <v>1</v>
      </c>
      <c r="O51" s="5" t="n">
        <v>0</v>
      </c>
      <c r="P51" s="5" t="n">
        <v>0</v>
      </c>
      <c r="Q51" s="5" t="n">
        <v>2</v>
      </c>
      <c r="R51" s="5" t="n">
        <v>2</v>
      </c>
      <c r="S51" s="5" t="n">
        <v>1</v>
      </c>
      <c r="T51" s="5" t="n">
        <v>1</v>
      </c>
      <c r="U51" s="5" t="n">
        <v>1</v>
      </c>
      <c r="V51" s="6">
        <f>SUM(N51:U51)+Z51</f>
        <v/>
      </c>
      <c r="W51" s="6">
        <f>IF(V51&lt;=Params!$B$2,"Low",IF(V51&lt;=Params!$B$3,"Medium","High"))</f>
        <v/>
      </c>
      <c r="X51" s="6">
        <f>IF(W51="High",1,0)</f>
        <v/>
      </c>
      <c r="Y51">
        <f>IF(OR(ISNUMBER(SEARCH("Cholinesterase",$C51)),ISNUMBER(SEARCH("NMDA",$C51)),ISNUMBER(SEARCH("5-HT6",$C51)),ISNUMBER(SEARCH("H3",$C51)),ISNUMBER(SEARCH("Muscarinic",$C51)),ISNUMBER(SEARCH("Nicotinic",$C51)),ISNUMBER(SEARCH("ampakine",$C51)),ISNUMBER(SEARCH("antipsychotic",$C51)),ISNUMBER(SEARCH("symptomatic",$C51))),"Symptomatic","DMT")</f>
        <v/>
      </c>
      <c r="Z51">
        <f>IF(OR(ISNUMBER(SEARCH("5-HT6",$C51)),ISNUMBER(SEARCH("Histamine H3",$C51)),ISNUMBER(SEARCH("H3 receptor",$C51)),ISNUMBER(SEARCH("Muscarinic",$C51)),ISNUMBER(SEARCH("Nicotinic",$C51))),2,0)</f>
        <v/>
      </c>
    </row>
    <row r="52">
      <c r="A52" s="5" t="n">
        <v>1</v>
      </c>
      <c r="B52" s="6" t="inlineStr">
        <is>
          <t>Flurizan (Tarenflurbil)</t>
        </is>
      </c>
      <c r="C52" s="7" t="inlineStr">
        <is>
          <t>γ-secretase modulator (NSAID derivative)</t>
        </is>
      </c>
      <c r="D52" s="7" t="inlineStr">
        <is>
          <t>Mild AD dementia</t>
        </is>
      </c>
      <c r="E52" s="7" t="inlineStr">
        <is>
          <t>Failed Phase 3</t>
        </is>
      </c>
      <c r="F52" s="7" t="inlineStr">
        <is>
          <t>Efficacy</t>
        </is>
      </c>
      <c r="G52" s="7" t="inlineStr">
        <is>
          <t>Pleiotropy/toxicity=1; Stage mismatch=1; Safety burden=1; Ancestry modifier unmodeled=1</t>
        </is>
      </c>
      <c r="H52" s="6" t="inlineStr">
        <is>
          <t>Low</t>
        </is>
      </c>
      <c r="I52" s="7" t="inlineStr"/>
      <c r="J52" s="5" t="inlineStr">
        <is>
          <t>Unknown</t>
        </is>
      </c>
      <c r="K52" s="5" t="inlineStr">
        <is>
          <t>Unknown</t>
        </is>
      </c>
      <c r="L52" s="5" t="inlineStr">
        <is>
          <t>Unknown</t>
        </is>
      </c>
      <c r="M52" s="8" t="n"/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1</v>
      </c>
      <c r="T52" s="5" t="n">
        <v>0</v>
      </c>
      <c r="U52" s="5" t="n">
        <v>1</v>
      </c>
      <c r="V52" s="6">
        <f>SUM(N52:U52)+Z52</f>
        <v/>
      </c>
      <c r="W52" s="6">
        <f>IF(V52&lt;=Params!$B$2,"Low",IF(V52&lt;=Params!$B$3,"Medium","High"))</f>
        <v/>
      </c>
      <c r="X52" s="6">
        <f>IF(W52="High",1,0)</f>
        <v/>
      </c>
      <c r="Y52">
        <f>IF(OR(ISNUMBER(SEARCH("Cholinesterase",$C52)),ISNUMBER(SEARCH("NMDA",$C52)),ISNUMBER(SEARCH("5-HT6",$C52)),ISNUMBER(SEARCH("H3",$C52)),ISNUMBER(SEARCH("Muscarinic",$C52)),ISNUMBER(SEARCH("Nicotinic",$C52)),ISNUMBER(SEARCH("ampakine",$C52)),ISNUMBER(SEARCH("antipsychotic",$C52)),ISNUMBER(SEARCH("symptomatic",$C52))),"Symptomatic","DMT")</f>
        <v/>
      </c>
      <c r="Z52">
        <f>IF(OR(ISNUMBER(SEARCH("5-HT6",$C52)),ISNUMBER(SEARCH("Histamine H3",$C52)),ISNUMBER(SEARCH("H3 receptor",$C52)),ISNUMBER(SEARCH("Muscarinic",$C52)),ISNUMBER(SEARCH("Nicotinic",$C52))),2,0)</f>
        <v/>
      </c>
    </row>
    <row r="53">
      <c r="A53" s="5" t="n">
        <v>1</v>
      </c>
      <c r="B53" s="6" t="inlineStr">
        <is>
          <t>CHF5074</t>
        </is>
      </c>
      <c r="C53" s="7" t="inlineStr">
        <is>
          <t>γ-secretase modulator / anti-inflammatory</t>
        </is>
      </c>
      <c r="D53" s="7" t="inlineStr">
        <is>
          <t>Mild AD dementia</t>
        </is>
      </c>
      <c r="E53" s="7" t="inlineStr">
        <is>
          <t>Discontinued</t>
        </is>
      </c>
      <c r="F53" s="7" t="inlineStr">
        <is>
          <t>Efficacy</t>
        </is>
      </c>
      <c r="G53" s="7" t="inlineStr">
        <is>
          <t>Pleiotropy/toxicity=1; Stage mismatch=1; Safety burden=1; Ancestry modifier unmodeled=1</t>
        </is>
      </c>
      <c r="H53" s="6" t="inlineStr">
        <is>
          <t>Low</t>
        </is>
      </c>
      <c r="I53" s="7" t="inlineStr"/>
      <c r="J53" s="5" t="inlineStr">
        <is>
          <t>Unknown</t>
        </is>
      </c>
      <c r="K53" s="5" t="inlineStr">
        <is>
          <t>Unknown</t>
        </is>
      </c>
      <c r="L53" s="5" t="inlineStr">
        <is>
          <t>Unknown</t>
        </is>
      </c>
      <c r="M53" s="8" t="n"/>
      <c r="N53" s="5" t="n">
        <v>1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1</v>
      </c>
      <c r="T53" s="5" t="n">
        <v>0</v>
      </c>
      <c r="U53" s="5" t="n">
        <v>1</v>
      </c>
      <c r="V53" s="6">
        <f>SUM(N53:U53)+Z53</f>
        <v/>
      </c>
      <c r="W53" s="6">
        <f>IF(V53&lt;=Params!$B$2,"Low",IF(V53&lt;=Params!$B$3,"Medium","High"))</f>
        <v/>
      </c>
      <c r="X53" s="6">
        <f>IF(W53="High",1,0)</f>
        <v/>
      </c>
      <c r="Y53">
        <f>IF(OR(ISNUMBER(SEARCH("Cholinesterase",$C53)),ISNUMBER(SEARCH("NMDA",$C53)),ISNUMBER(SEARCH("5-HT6",$C53)),ISNUMBER(SEARCH("H3",$C53)),ISNUMBER(SEARCH("Muscarinic",$C53)),ISNUMBER(SEARCH("Nicotinic",$C53)),ISNUMBER(SEARCH("ampakine",$C53)),ISNUMBER(SEARCH("antipsychotic",$C53)),ISNUMBER(SEARCH("symptomatic",$C53))),"Symptomatic","DMT")</f>
        <v/>
      </c>
      <c r="Z53">
        <f>IF(OR(ISNUMBER(SEARCH("5-HT6",$C53)),ISNUMBER(SEARCH("Histamine H3",$C53)),ISNUMBER(SEARCH("H3 receptor",$C53)),ISNUMBER(SEARCH("Muscarinic",$C53)),ISNUMBER(SEARCH("Nicotinic",$C53))),2,0)</f>
        <v/>
      </c>
    </row>
    <row r="54">
      <c r="A54" s="5" t="n">
        <v>1</v>
      </c>
      <c r="B54" s="6" t="inlineStr">
        <is>
          <t>Tramiprosate (Alzhemed)</t>
        </is>
      </c>
      <c r="C54" s="7" t="inlineStr">
        <is>
          <t>Aβ aggregation inhibitor</t>
        </is>
      </c>
      <c r="D54" s="7" t="inlineStr">
        <is>
          <t>Mild–moderate AD dementia</t>
        </is>
      </c>
      <c r="E54" s="7" t="inlineStr">
        <is>
          <t>Failed Phase 3</t>
        </is>
      </c>
      <c r="F54" s="7" t="inlineStr">
        <is>
          <t>Efficacy</t>
        </is>
      </c>
      <c r="G54" s="7" t="inlineStr">
        <is>
          <t>Pleiotropy/toxicity=1; Wrong species=1; Stage mismatch=2; Target engagement hard=2; Safety burden=1; Ancestry modifier unmodeled=1</t>
        </is>
      </c>
      <c r="H54" s="6" t="inlineStr">
        <is>
          <t>Medium</t>
        </is>
      </c>
      <c r="I54" s="7" t="inlineStr"/>
      <c r="J54" s="5" t="inlineStr">
        <is>
          <t>Unknown</t>
        </is>
      </c>
      <c r="K54" s="5" t="inlineStr">
        <is>
          <t>Unknown</t>
        </is>
      </c>
      <c r="L54" s="5" t="inlineStr">
        <is>
          <t>Unknown</t>
        </is>
      </c>
      <c r="M54" s="8" t="n"/>
      <c r="N54" s="5" t="n">
        <v>1</v>
      </c>
      <c r="O54" s="5" t="n">
        <v>1</v>
      </c>
      <c r="P54" s="5" t="n">
        <v>2</v>
      </c>
      <c r="Q54" s="5" t="n">
        <v>0</v>
      </c>
      <c r="R54" s="5" t="n">
        <v>2</v>
      </c>
      <c r="S54" s="5" t="n">
        <v>1</v>
      </c>
      <c r="T54" s="5" t="n">
        <v>0</v>
      </c>
      <c r="U54" s="5" t="n">
        <v>1</v>
      </c>
      <c r="V54" s="6">
        <f>SUM(N54:U54)+Z54</f>
        <v/>
      </c>
      <c r="W54" s="6">
        <f>IF(V54&lt;=Params!$B$2,"Low",IF(V54&lt;=Params!$B$3,"Medium","High"))</f>
        <v/>
      </c>
      <c r="X54" s="6">
        <f>IF(W54="High",1,0)</f>
        <v/>
      </c>
      <c r="Y54">
        <f>IF(OR(ISNUMBER(SEARCH("Cholinesterase",$C54)),ISNUMBER(SEARCH("NMDA",$C54)),ISNUMBER(SEARCH("5-HT6",$C54)),ISNUMBER(SEARCH("H3",$C54)),ISNUMBER(SEARCH("Muscarinic",$C54)),ISNUMBER(SEARCH("Nicotinic",$C54)),ISNUMBER(SEARCH("ampakine",$C54)),ISNUMBER(SEARCH("antipsychotic",$C54)),ISNUMBER(SEARCH("symptomatic",$C54))),"Symptomatic","DMT")</f>
        <v/>
      </c>
      <c r="Z54">
        <f>IF(OR(ISNUMBER(SEARCH("5-HT6",$C54)),ISNUMBER(SEARCH("Histamine H3",$C54)),ISNUMBER(SEARCH("H3 receptor",$C54)),ISNUMBER(SEARCH("Muscarinic",$C54)),ISNUMBER(SEARCH("Nicotinic",$C54))),2,0)</f>
        <v/>
      </c>
    </row>
    <row r="55">
      <c r="A55" s="5" t="n">
        <v>1</v>
      </c>
      <c r="B55" s="6" t="inlineStr">
        <is>
          <t>Scyllo-inositol (ELND005)</t>
        </is>
      </c>
      <c r="C55" s="7" t="inlineStr">
        <is>
          <t>Aβ aggregation inhibitor</t>
        </is>
      </c>
      <c r="D55" s="7" t="inlineStr">
        <is>
          <t>Mild–moderate AD dementia</t>
        </is>
      </c>
      <c r="E55" s="7" t="inlineStr">
        <is>
          <t>Failed/terminated development</t>
        </is>
      </c>
      <c r="F55" s="7" t="inlineStr">
        <is>
          <t>Safety + efficacy</t>
        </is>
      </c>
      <c r="G55" s="7" t="inlineStr">
        <is>
          <t>Pleiotropy/toxicity=1; Wrong species=1; Stage mismatch=2; Target engagement hard=2; Safety burden=1; Ancestry modifier unmodeled=1</t>
        </is>
      </c>
      <c r="H55" s="6" t="inlineStr">
        <is>
          <t>Medium</t>
        </is>
      </c>
      <c r="I55" s="7" t="inlineStr"/>
      <c r="J55" s="5" t="inlineStr">
        <is>
          <t>Unknown</t>
        </is>
      </c>
      <c r="K55" s="5" t="inlineStr">
        <is>
          <t>Unknown</t>
        </is>
      </c>
      <c r="L55" s="5" t="inlineStr">
        <is>
          <t>Unknown</t>
        </is>
      </c>
      <c r="M55" s="8" t="n"/>
      <c r="N55" s="5" t="n">
        <v>1</v>
      </c>
      <c r="O55" s="5" t="n">
        <v>1</v>
      </c>
      <c r="P55" s="5" t="n">
        <v>2</v>
      </c>
      <c r="Q55" s="5" t="n">
        <v>0</v>
      </c>
      <c r="R55" s="5" t="n">
        <v>2</v>
      </c>
      <c r="S55" s="5" t="n">
        <v>1</v>
      </c>
      <c r="T55" s="5" t="n">
        <v>0</v>
      </c>
      <c r="U55" s="5" t="n">
        <v>1</v>
      </c>
      <c r="V55" s="6">
        <f>SUM(N55:U55)+Z55</f>
        <v/>
      </c>
      <c r="W55" s="6">
        <f>IF(V55&lt;=Params!$B$2,"Low",IF(V55&lt;=Params!$B$3,"Medium","High"))</f>
        <v/>
      </c>
      <c r="X55" s="6">
        <f>IF(W55="High",1,0)</f>
        <v/>
      </c>
      <c r="Y55">
        <f>IF(OR(ISNUMBER(SEARCH("Cholinesterase",$C55)),ISNUMBER(SEARCH("NMDA",$C55)),ISNUMBER(SEARCH("5-HT6",$C55)),ISNUMBER(SEARCH("H3",$C55)),ISNUMBER(SEARCH("Muscarinic",$C55)),ISNUMBER(SEARCH("Nicotinic",$C55)),ISNUMBER(SEARCH("ampakine",$C55)),ISNUMBER(SEARCH("antipsychotic",$C55)),ISNUMBER(SEARCH("symptomatic",$C55))),"Symptomatic","DMT")</f>
        <v/>
      </c>
      <c r="Z55">
        <f>IF(OR(ISNUMBER(SEARCH("5-HT6",$C55)),ISNUMBER(SEARCH("Histamine H3",$C55)),ISNUMBER(SEARCH("H3 receptor",$C55)),ISNUMBER(SEARCH("Muscarinic",$C55)),ISNUMBER(SEARCH("Nicotinic",$C55))),2,0)</f>
        <v/>
      </c>
    </row>
    <row r="56">
      <c r="A56" s="5" t="n">
        <v>1</v>
      </c>
      <c r="B56" s="6" t="inlineStr">
        <is>
          <t>Clioquinol (PBT1)</t>
        </is>
      </c>
      <c r="C56" s="7" t="inlineStr">
        <is>
          <t>Metal chelator / anti-aggregation</t>
        </is>
      </c>
      <c r="D56" s="7" t="inlineStr">
        <is>
          <t>Mild–moderate AD dementia</t>
        </is>
      </c>
      <c r="E56" s="7" t="inlineStr">
        <is>
          <t>Did not progress / discontinued</t>
        </is>
      </c>
      <c r="F56" s="7" t="inlineStr">
        <is>
          <t>Safety + efficacy</t>
        </is>
      </c>
      <c r="G56" s="7" t="inlineStr">
        <is>
          <t>Pleiotropy/toxicity=2; Stage mismatch=2; Human causality weak=2; Target engagement hard=2; Safety burden=2</t>
        </is>
      </c>
      <c r="H56" s="6" t="inlineStr">
        <is>
          <t>High</t>
        </is>
      </c>
      <c r="I56" s="7" t="inlineStr"/>
      <c r="J56" s="5" t="inlineStr">
        <is>
          <t>Unknown</t>
        </is>
      </c>
      <c r="K56" s="5" t="inlineStr">
        <is>
          <t>Unknown</t>
        </is>
      </c>
      <c r="L56" s="5" t="inlineStr">
        <is>
          <t>Unknown</t>
        </is>
      </c>
      <c r="M56" s="8" t="n"/>
      <c r="N56" s="5" t="n">
        <v>2</v>
      </c>
      <c r="O56" s="5" t="n">
        <v>0</v>
      </c>
      <c r="P56" s="5" t="n">
        <v>2</v>
      </c>
      <c r="Q56" s="5" t="n">
        <v>2</v>
      </c>
      <c r="R56" s="5" t="n">
        <v>2</v>
      </c>
      <c r="S56" s="5" t="n">
        <v>2</v>
      </c>
      <c r="T56" s="5" t="n">
        <v>0</v>
      </c>
      <c r="U56" s="5" t="n">
        <v>0</v>
      </c>
      <c r="V56" s="6">
        <f>SUM(N56:U56)+Z56</f>
        <v/>
      </c>
      <c r="W56" s="6">
        <f>IF(V56&lt;=Params!$B$2,"Low",IF(V56&lt;=Params!$B$3,"Medium","High"))</f>
        <v/>
      </c>
      <c r="X56" s="6">
        <f>IF(W56="High",1,0)</f>
        <v/>
      </c>
      <c r="Y56">
        <f>IF(OR(ISNUMBER(SEARCH("Cholinesterase",$C56)),ISNUMBER(SEARCH("NMDA",$C56)),ISNUMBER(SEARCH("5-HT6",$C56)),ISNUMBER(SEARCH("H3",$C56)),ISNUMBER(SEARCH("Muscarinic",$C56)),ISNUMBER(SEARCH("Nicotinic",$C56)),ISNUMBER(SEARCH("ampakine",$C56)),ISNUMBER(SEARCH("antipsychotic",$C56)),ISNUMBER(SEARCH("symptomatic",$C56))),"Symptomatic","DMT")</f>
        <v/>
      </c>
      <c r="Z56">
        <f>IF(OR(ISNUMBER(SEARCH("5-HT6",$C56)),ISNUMBER(SEARCH("Histamine H3",$C56)),ISNUMBER(SEARCH("H3 receptor",$C56)),ISNUMBER(SEARCH("Muscarinic",$C56)),ISNUMBER(SEARCH("Nicotinic",$C56))),2,0)</f>
        <v/>
      </c>
    </row>
    <row r="57">
      <c r="A57" s="5" t="n">
        <v>1</v>
      </c>
      <c r="B57" s="6" t="inlineStr">
        <is>
          <t>Bexarotene</t>
        </is>
      </c>
      <c r="C57" s="7" t="inlineStr">
        <is>
          <t>RXR agonist (Aβ clearance hypothesis)</t>
        </is>
      </c>
      <c r="D57" s="7" t="inlineStr">
        <is>
          <t>Mild–moderate AD dementia</t>
        </is>
      </c>
      <c r="E57" s="7" t="inlineStr">
        <is>
          <t>No reproducible clinical benefit; development not advanced</t>
        </is>
      </c>
      <c r="F57" s="7" t="inlineStr">
        <is>
          <t>Efficacy</t>
        </is>
      </c>
      <c r="G57" s="7" t="inlineStr">
        <is>
          <t>Pleiotropy/toxicity=2; Stage mismatch=2; Human causality weak=2; Target engagement hard=2; Safety burden=2; Sex modifier unmodeled=1; Ancestry modifier unmodeled=1</t>
        </is>
      </c>
      <c r="H57" s="6" t="inlineStr">
        <is>
          <t>High</t>
        </is>
      </c>
      <c r="I57" s="7" t="inlineStr"/>
      <c r="J57" s="5" t="inlineStr">
        <is>
          <t>Unknown</t>
        </is>
      </c>
      <c r="K57" s="5" t="inlineStr">
        <is>
          <t>Unknown</t>
        </is>
      </c>
      <c r="L57" s="5" t="inlineStr">
        <is>
          <t>Unknown</t>
        </is>
      </c>
      <c r="M57" s="8" t="n"/>
      <c r="N57" s="5" t="n">
        <v>2</v>
      </c>
      <c r="O57" s="5" t="n">
        <v>0</v>
      </c>
      <c r="P57" s="5" t="n">
        <v>2</v>
      </c>
      <c r="Q57" s="5" t="n">
        <v>2</v>
      </c>
      <c r="R57" s="5" t="n">
        <v>2</v>
      </c>
      <c r="S57" s="5" t="n">
        <v>2</v>
      </c>
      <c r="T57" s="5" t="n">
        <v>1</v>
      </c>
      <c r="U57" s="5" t="n">
        <v>1</v>
      </c>
      <c r="V57" s="6">
        <f>SUM(N57:U57)+Z57</f>
        <v/>
      </c>
      <c r="W57" s="6">
        <f>IF(V57&lt;=Params!$B$2,"Low",IF(V57&lt;=Params!$B$3,"Medium","High"))</f>
        <v/>
      </c>
      <c r="X57" s="6">
        <f>IF(W57="High",1,0)</f>
        <v/>
      </c>
      <c r="Y57">
        <f>IF(OR(ISNUMBER(SEARCH("Cholinesterase",$C57)),ISNUMBER(SEARCH("NMDA",$C57)),ISNUMBER(SEARCH("5-HT6",$C57)),ISNUMBER(SEARCH("H3",$C57)),ISNUMBER(SEARCH("Muscarinic",$C57)),ISNUMBER(SEARCH("Nicotinic",$C57)),ISNUMBER(SEARCH("ampakine",$C57)),ISNUMBER(SEARCH("antipsychotic",$C57)),ISNUMBER(SEARCH("symptomatic",$C57))),"Symptomatic","DMT")</f>
        <v/>
      </c>
      <c r="Z57">
        <f>IF(OR(ISNUMBER(SEARCH("5-HT6",$C57)),ISNUMBER(SEARCH("Histamine H3",$C57)),ISNUMBER(SEARCH("H3 receptor",$C57)),ISNUMBER(SEARCH("Muscarinic",$C57)),ISNUMBER(SEARCH("Nicotinic",$C57))),2,0)</f>
        <v/>
      </c>
    </row>
    <row r="58">
      <c r="A58" s="5" t="n">
        <v>1</v>
      </c>
      <c r="B58" s="6" t="inlineStr">
        <is>
          <t>LY3202626</t>
        </is>
      </c>
      <c r="C58" s="7" t="inlineStr">
        <is>
          <t>BACE inhibitor</t>
        </is>
      </c>
      <c r="D58" s="7" t="inlineStr">
        <is>
          <t>Early AD / MCI due to AD</t>
        </is>
      </c>
      <c r="E58" s="7" t="inlineStr">
        <is>
          <t>Discontinued after negative/limited efficacy signals</t>
        </is>
      </c>
      <c r="F58" s="7" t="inlineStr">
        <is>
          <t>Efficacy</t>
        </is>
      </c>
      <c r="G58" s="7" t="inlineStr">
        <is>
          <t>Pleiotropy/toxicity=2; Safety burden=2; Ancestry modifier unmodeled=1</t>
        </is>
      </c>
      <c r="H58" s="6" t="inlineStr">
        <is>
          <t>Medium</t>
        </is>
      </c>
      <c r="I58" s="7" t="inlineStr"/>
      <c r="J58" s="5" t="inlineStr">
        <is>
          <t>Unknown</t>
        </is>
      </c>
      <c r="K58" s="5" t="inlineStr">
        <is>
          <t>Unknown</t>
        </is>
      </c>
      <c r="L58" s="5" t="inlineStr">
        <is>
          <t>Unknown</t>
        </is>
      </c>
      <c r="M58" s="8" t="n"/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2</v>
      </c>
      <c r="T58" s="5" t="n">
        <v>0</v>
      </c>
      <c r="U58" s="5" t="n">
        <v>1</v>
      </c>
      <c r="V58" s="6">
        <f>SUM(N58:U58)+Z58</f>
        <v/>
      </c>
      <c r="W58" s="6">
        <f>IF(V58&lt;=Params!$B$2,"Low",IF(V58&lt;=Params!$B$3,"Medium","High"))</f>
        <v/>
      </c>
      <c r="X58" s="6">
        <f>IF(W58="High",1,0)</f>
        <v/>
      </c>
      <c r="Y58">
        <f>IF(OR(ISNUMBER(SEARCH("Cholinesterase",$C58)),ISNUMBER(SEARCH("NMDA",$C58)),ISNUMBER(SEARCH("5-HT6",$C58)),ISNUMBER(SEARCH("H3",$C58)),ISNUMBER(SEARCH("Muscarinic",$C58)),ISNUMBER(SEARCH("Nicotinic",$C58)),ISNUMBER(SEARCH("ampakine",$C58)),ISNUMBER(SEARCH("antipsychotic",$C58)),ISNUMBER(SEARCH("symptomatic",$C58))),"Symptomatic","DMT")</f>
        <v/>
      </c>
      <c r="Z58">
        <f>IF(OR(ISNUMBER(SEARCH("5-HT6",$C58)),ISNUMBER(SEARCH("Histamine H3",$C58)),ISNUMBER(SEARCH("H3 receptor",$C58)),ISNUMBER(SEARCH("Muscarinic",$C58)),ISNUMBER(SEARCH("Nicotinic",$C58))),2,0)</f>
        <v/>
      </c>
    </row>
    <row r="59">
      <c r="A59" s="5" t="n">
        <v>1</v>
      </c>
      <c r="B59" s="6" t="inlineStr">
        <is>
          <t>AZD-3839</t>
        </is>
      </c>
      <c r="C59" s="7" t="inlineStr">
        <is>
          <t>BACE inhibitor</t>
        </is>
      </c>
      <c r="D59" s="7" t="inlineStr">
        <is>
          <t>Healthy volunteers / early AD studies</t>
        </is>
      </c>
      <c r="E59" s="7" t="inlineStr">
        <is>
          <t>Discontinued in early development</t>
        </is>
      </c>
      <c r="F59" s="7" t="inlineStr">
        <is>
          <t>Other/Strategic</t>
        </is>
      </c>
      <c r="G59" s="7" t="inlineStr">
        <is>
          <t>Pleiotropy/toxicity=2; Safety burden=2; Ancestry modifier unmodeled=1</t>
        </is>
      </c>
      <c r="H59" s="6" t="inlineStr">
        <is>
          <t>Medium</t>
        </is>
      </c>
      <c r="I59" s="7" t="inlineStr"/>
      <c r="J59" s="5" t="inlineStr">
        <is>
          <t>Unknown</t>
        </is>
      </c>
      <c r="K59" s="5" t="inlineStr">
        <is>
          <t>Unknown</t>
        </is>
      </c>
      <c r="L59" s="5" t="inlineStr">
        <is>
          <t>Unknown</t>
        </is>
      </c>
      <c r="M59" s="8" t="n"/>
      <c r="N59" s="5" t="n">
        <v>2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2</v>
      </c>
      <c r="T59" s="5" t="n">
        <v>0</v>
      </c>
      <c r="U59" s="5" t="n">
        <v>1</v>
      </c>
      <c r="V59" s="6">
        <f>SUM(N59:U59)+Z59</f>
        <v/>
      </c>
      <c r="W59" s="6">
        <f>IF(V59&lt;=Params!$B$2,"Low",IF(V59&lt;=Params!$B$3,"Medium","High"))</f>
        <v/>
      </c>
      <c r="X59" s="6">
        <f>IF(W59="High",1,0)</f>
        <v/>
      </c>
      <c r="Y59">
        <f>IF(OR(ISNUMBER(SEARCH("Cholinesterase",$C59)),ISNUMBER(SEARCH("NMDA",$C59)),ISNUMBER(SEARCH("5-HT6",$C59)),ISNUMBER(SEARCH("H3",$C59)),ISNUMBER(SEARCH("Muscarinic",$C59)),ISNUMBER(SEARCH("Nicotinic",$C59)),ISNUMBER(SEARCH("ampakine",$C59)),ISNUMBER(SEARCH("antipsychotic",$C59)),ISNUMBER(SEARCH("symptomatic",$C59))),"Symptomatic","DMT")</f>
        <v/>
      </c>
      <c r="Z59">
        <f>IF(OR(ISNUMBER(SEARCH("5-HT6",$C59)),ISNUMBER(SEARCH("Histamine H3",$C59)),ISNUMBER(SEARCH("H3 receptor",$C59)),ISNUMBER(SEARCH("Muscarinic",$C59)),ISNUMBER(SEARCH("Nicotinic",$C59))),2,0)</f>
        <v/>
      </c>
    </row>
    <row r="60">
      <c r="A60" s="5" t="n">
        <v>1</v>
      </c>
      <c r="B60" s="6" t="inlineStr">
        <is>
          <t>CTS-21166</t>
        </is>
      </c>
      <c r="C60" s="7" t="inlineStr">
        <is>
          <t>BACE inhibitor</t>
        </is>
      </c>
      <c r="D60" s="7" t="inlineStr">
        <is>
          <t>Early AD studies</t>
        </is>
      </c>
      <c r="E60" s="7" t="inlineStr">
        <is>
          <t>Discontinued / no late-stage success</t>
        </is>
      </c>
      <c r="F60" s="7" t="inlineStr">
        <is>
          <t>Efficacy</t>
        </is>
      </c>
      <c r="G60" s="7" t="inlineStr">
        <is>
          <t>Pleiotropy/toxicity=2; Safety burden=2; Ancestry modifier unmodeled=1</t>
        </is>
      </c>
      <c r="H60" s="6" t="inlineStr">
        <is>
          <t>Medium</t>
        </is>
      </c>
      <c r="I60" s="7" t="inlineStr"/>
      <c r="J60" s="5" t="inlineStr">
        <is>
          <t>Unknown</t>
        </is>
      </c>
      <c r="K60" s="5" t="inlineStr">
        <is>
          <t>Unknown</t>
        </is>
      </c>
      <c r="L60" s="5" t="inlineStr">
        <is>
          <t>Unknown</t>
        </is>
      </c>
      <c r="M60" s="8" t="n"/>
      <c r="N60" s="5" t="n">
        <v>2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2</v>
      </c>
      <c r="T60" s="5" t="n">
        <v>0</v>
      </c>
      <c r="U60" s="5" t="n">
        <v>1</v>
      </c>
      <c r="V60" s="6">
        <f>SUM(N60:U60)+Z60</f>
        <v/>
      </c>
      <c r="W60" s="6">
        <f>IF(V60&lt;=Params!$B$2,"Low",IF(V60&lt;=Params!$B$3,"Medium","High"))</f>
        <v/>
      </c>
      <c r="X60" s="6">
        <f>IF(W60="High",1,0)</f>
        <v/>
      </c>
      <c r="Y60">
        <f>IF(OR(ISNUMBER(SEARCH("Cholinesterase",$C60)),ISNUMBER(SEARCH("NMDA",$C60)),ISNUMBER(SEARCH("5-HT6",$C60)),ISNUMBER(SEARCH("H3",$C60)),ISNUMBER(SEARCH("Muscarinic",$C60)),ISNUMBER(SEARCH("Nicotinic",$C60)),ISNUMBER(SEARCH("ampakine",$C60)),ISNUMBER(SEARCH("antipsychotic",$C60)),ISNUMBER(SEARCH("symptomatic",$C60))),"Symptomatic","DMT")</f>
        <v/>
      </c>
      <c r="Z60">
        <f>IF(OR(ISNUMBER(SEARCH("5-HT6",$C60)),ISNUMBER(SEARCH("Histamine H3",$C60)),ISNUMBER(SEARCH("H3 receptor",$C60)),ISNUMBER(SEARCH("Muscarinic",$C60)),ISNUMBER(SEARCH("Nicotinic",$C60))),2,0)</f>
        <v/>
      </c>
    </row>
    <row r="61">
      <c r="A61" s="5" t="n">
        <v>1</v>
      </c>
      <c r="B61" s="6" t="inlineStr">
        <is>
          <t>Begacestat (GSI-953)</t>
        </is>
      </c>
      <c r="C61" s="7" t="inlineStr">
        <is>
          <t>γ-secretase inhibitor</t>
        </is>
      </c>
      <c r="D61" s="7" t="inlineStr">
        <is>
          <t>AD dementia (early trials)</t>
        </is>
      </c>
      <c r="E61" s="7" t="inlineStr">
        <is>
          <t>Discontinued</t>
        </is>
      </c>
      <c r="F61" s="7" t="inlineStr">
        <is>
          <t>Safety + efficacy</t>
        </is>
      </c>
      <c r="G61" s="7" t="inlineStr">
        <is>
          <t>Pleiotropy/toxicity=2; Safety burden=2; Ancestry modifier unmodeled=1</t>
        </is>
      </c>
      <c r="H61" s="6" t="inlineStr">
        <is>
          <t>Medium</t>
        </is>
      </c>
      <c r="I61" s="7" t="inlineStr"/>
      <c r="J61" s="5" t="inlineStr">
        <is>
          <t>Unknown</t>
        </is>
      </c>
      <c r="K61" s="5" t="inlineStr">
        <is>
          <t>Unknown</t>
        </is>
      </c>
      <c r="L61" s="5" t="inlineStr">
        <is>
          <t>Unknown</t>
        </is>
      </c>
      <c r="M61" s="8" t="n"/>
      <c r="N61" s="5" t="n">
        <v>2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2</v>
      </c>
      <c r="T61" s="5" t="n">
        <v>0</v>
      </c>
      <c r="U61" s="5" t="n">
        <v>1</v>
      </c>
      <c r="V61" s="6">
        <f>SUM(N61:U61)+Z61</f>
        <v/>
      </c>
      <c r="W61" s="6">
        <f>IF(V61&lt;=Params!$B$2,"Low",IF(V61&lt;=Params!$B$3,"Medium","High"))</f>
        <v/>
      </c>
      <c r="X61" s="6">
        <f>IF(W61="High",1,0)</f>
        <v/>
      </c>
      <c r="Y61">
        <f>IF(OR(ISNUMBER(SEARCH("Cholinesterase",$C61)),ISNUMBER(SEARCH("NMDA",$C61)),ISNUMBER(SEARCH("5-HT6",$C61)),ISNUMBER(SEARCH("H3",$C61)),ISNUMBER(SEARCH("Muscarinic",$C61)),ISNUMBER(SEARCH("Nicotinic",$C61)),ISNUMBER(SEARCH("ampakine",$C61)),ISNUMBER(SEARCH("antipsychotic",$C61)),ISNUMBER(SEARCH("symptomatic",$C61))),"Symptomatic","DMT")</f>
        <v/>
      </c>
      <c r="Z61">
        <f>IF(OR(ISNUMBER(SEARCH("5-HT6",$C61)),ISNUMBER(SEARCH("Histamine H3",$C61)),ISNUMBER(SEARCH("H3 receptor",$C61)),ISNUMBER(SEARCH("Muscarinic",$C61)),ISNUMBER(SEARCH("Nicotinic",$C61))),2,0)</f>
        <v/>
      </c>
    </row>
    <row r="62">
      <c r="A62" s="5" t="n">
        <v>1</v>
      </c>
      <c r="B62" s="6" t="inlineStr">
        <is>
          <t>PF-3084014</t>
        </is>
      </c>
      <c r="C62" s="7" t="inlineStr">
        <is>
          <t>γ-secretase inhibitor</t>
        </is>
      </c>
      <c r="D62" s="7" t="inlineStr">
        <is>
          <t>AD dementia (early trials)</t>
        </is>
      </c>
      <c r="E62" s="7" t="inlineStr">
        <is>
          <t>Discontinued</t>
        </is>
      </c>
      <c r="F62" s="7" t="inlineStr">
        <is>
          <t>Safety + efficacy</t>
        </is>
      </c>
      <c r="G62" s="7" t="inlineStr">
        <is>
          <t>Pleiotropy/toxicity=2; Safety burden=2; Ancestry modifier unmodeled=1</t>
        </is>
      </c>
      <c r="H62" s="6" t="inlineStr">
        <is>
          <t>Medium</t>
        </is>
      </c>
      <c r="I62" s="7" t="inlineStr"/>
      <c r="J62" s="5" t="inlineStr">
        <is>
          <t>Unknown</t>
        </is>
      </c>
      <c r="K62" s="5" t="inlineStr">
        <is>
          <t>Unknown</t>
        </is>
      </c>
      <c r="L62" s="5" t="inlineStr">
        <is>
          <t>Unknown</t>
        </is>
      </c>
      <c r="M62" s="8" t="n"/>
      <c r="N62" s="5" t="n">
        <v>2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2</v>
      </c>
      <c r="T62" s="5" t="n">
        <v>0</v>
      </c>
      <c r="U62" s="5" t="n">
        <v>1</v>
      </c>
      <c r="V62" s="6">
        <f>SUM(N62:U62)+Z62</f>
        <v/>
      </c>
      <c r="W62" s="6">
        <f>IF(V62&lt;=Params!$B$2,"Low",IF(V62&lt;=Params!$B$3,"Medium","High"))</f>
        <v/>
      </c>
      <c r="X62" s="6">
        <f>IF(W62="High",1,0)</f>
        <v/>
      </c>
      <c r="Y62">
        <f>IF(OR(ISNUMBER(SEARCH("Cholinesterase",$C62)),ISNUMBER(SEARCH("NMDA",$C62)),ISNUMBER(SEARCH("5-HT6",$C62)),ISNUMBER(SEARCH("H3",$C62)),ISNUMBER(SEARCH("Muscarinic",$C62)),ISNUMBER(SEARCH("Nicotinic",$C62)),ISNUMBER(SEARCH("ampakine",$C62)),ISNUMBER(SEARCH("antipsychotic",$C62)),ISNUMBER(SEARCH("symptomatic",$C62))),"Symptomatic","DMT")</f>
        <v/>
      </c>
      <c r="Z62">
        <f>IF(OR(ISNUMBER(SEARCH("5-HT6",$C62)),ISNUMBER(SEARCH("Histamine H3",$C62)),ISNUMBER(SEARCH("H3 receptor",$C62)),ISNUMBER(SEARCH("Muscarinic",$C62)),ISNUMBER(SEARCH("Nicotinic",$C62))),2,0)</f>
        <v/>
      </c>
    </row>
    <row r="63">
      <c r="A63" s="5" t="n">
        <v>1</v>
      </c>
      <c r="B63" s="6" t="inlineStr">
        <is>
          <t>BMS-289948</t>
        </is>
      </c>
      <c r="C63" s="7" t="inlineStr">
        <is>
          <t>γ-secretase inhibitor</t>
        </is>
      </c>
      <c r="D63" s="7" t="inlineStr">
        <is>
          <t>AD dementia (early trials)</t>
        </is>
      </c>
      <c r="E63" s="7" t="inlineStr">
        <is>
          <t>Discontinued</t>
        </is>
      </c>
      <c r="F63" s="7" t="inlineStr">
        <is>
          <t>Safety + efficacy</t>
        </is>
      </c>
      <c r="G63" s="7" t="inlineStr">
        <is>
          <t>Pleiotropy/toxicity=2; Safety burden=2; Ancestry modifier unmodeled=1</t>
        </is>
      </c>
      <c r="H63" s="6" t="inlineStr">
        <is>
          <t>Medium</t>
        </is>
      </c>
      <c r="I63" s="7" t="inlineStr"/>
      <c r="J63" s="5" t="inlineStr">
        <is>
          <t>Unknown</t>
        </is>
      </c>
      <c r="K63" s="5" t="inlineStr">
        <is>
          <t>Unknown</t>
        </is>
      </c>
      <c r="L63" s="5" t="inlineStr">
        <is>
          <t>Unknown</t>
        </is>
      </c>
      <c r="M63" s="8" t="n"/>
      <c r="N63" s="5" t="n">
        <v>2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2</v>
      </c>
      <c r="T63" s="5" t="n">
        <v>0</v>
      </c>
      <c r="U63" s="5" t="n">
        <v>1</v>
      </c>
      <c r="V63" s="6">
        <f>SUM(N63:U63)+Z63</f>
        <v/>
      </c>
      <c r="W63" s="6">
        <f>IF(V63&lt;=Params!$B$2,"Low",IF(V63&lt;=Params!$B$3,"Medium","High"))</f>
        <v/>
      </c>
      <c r="X63" s="6">
        <f>IF(W63="High",1,0)</f>
        <v/>
      </c>
      <c r="Y63">
        <f>IF(OR(ISNUMBER(SEARCH("Cholinesterase",$C63)),ISNUMBER(SEARCH("NMDA",$C63)),ISNUMBER(SEARCH("5-HT6",$C63)),ISNUMBER(SEARCH("H3",$C63)),ISNUMBER(SEARCH("Muscarinic",$C63)),ISNUMBER(SEARCH("Nicotinic",$C63)),ISNUMBER(SEARCH("ampakine",$C63)),ISNUMBER(SEARCH("antipsychotic",$C63)),ISNUMBER(SEARCH("symptomatic",$C63))),"Symptomatic","DMT")</f>
        <v/>
      </c>
      <c r="Z63">
        <f>IF(OR(ISNUMBER(SEARCH("5-HT6",$C63)),ISNUMBER(SEARCH("Histamine H3",$C63)),ISNUMBER(SEARCH("H3 receptor",$C63)),ISNUMBER(SEARCH("Muscarinic",$C63)),ISNUMBER(SEARCH("Nicotinic",$C63))),2,0)</f>
        <v/>
      </c>
    </row>
    <row r="64">
      <c r="A64" s="5" t="n">
        <v>1</v>
      </c>
      <c r="B64" s="6" t="inlineStr">
        <is>
          <t>BMS-299897</t>
        </is>
      </c>
      <c r="C64" s="7" t="inlineStr">
        <is>
          <t>γ-secretase inhibitor</t>
        </is>
      </c>
      <c r="D64" s="7" t="inlineStr">
        <is>
          <t>AD dementia (early trials)</t>
        </is>
      </c>
      <c r="E64" s="7" t="inlineStr">
        <is>
          <t>Discontinued</t>
        </is>
      </c>
      <c r="F64" s="7" t="inlineStr">
        <is>
          <t>Safety + efficacy</t>
        </is>
      </c>
      <c r="G64" s="7" t="inlineStr">
        <is>
          <t>Pleiotropy/toxicity=2; Safety burden=2; Ancestry modifier unmodeled=1</t>
        </is>
      </c>
      <c r="H64" s="6" t="inlineStr">
        <is>
          <t>Medium</t>
        </is>
      </c>
      <c r="I64" s="7" t="inlineStr"/>
      <c r="J64" s="5" t="inlineStr">
        <is>
          <t>Unknown</t>
        </is>
      </c>
      <c r="K64" s="5" t="inlineStr">
        <is>
          <t>Unknown</t>
        </is>
      </c>
      <c r="L64" s="5" t="inlineStr">
        <is>
          <t>Unknown</t>
        </is>
      </c>
      <c r="M64" s="8" t="n"/>
      <c r="N64" s="5" t="n">
        <v>2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2</v>
      </c>
      <c r="T64" s="5" t="n">
        <v>0</v>
      </c>
      <c r="U64" s="5" t="n">
        <v>1</v>
      </c>
      <c r="V64" s="6">
        <f>SUM(N64:U64)+Z64</f>
        <v/>
      </c>
      <c r="W64" s="6">
        <f>IF(V64&lt;=Params!$B$2,"Low",IF(V64&lt;=Params!$B$3,"Medium","High"))</f>
        <v/>
      </c>
      <c r="X64" s="6">
        <f>IF(W64="High",1,0)</f>
        <v/>
      </c>
      <c r="Y64">
        <f>IF(OR(ISNUMBER(SEARCH("Cholinesterase",$C64)),ISNUMBER(SEARCH("NMDA",$C64)),ISNUMBER(SEARCH("5-HT6",$C64)),ISNUMBER(SEARCH("H3",$C64)),ISNUMBER(SEARCH("Muscarinic",$C64)),ISNUMBER(SEARCH("Nicotinic",$C64)),ISNUMBER(SEARCH("ampakine",$C64)),ISNUMBER(SEARCH("antipsychotic",$C64)),ISNUMBER(SEARCH("symptomatic",$C64))),"Symptomatic","DMT")</f>
        <v/>
      </c>
      <c r="Z64">
        <f>IF(OR(ISNUMBER(SEARCH("5-HT6",$C64)),ISNUMBER(SEARCH("Histamine H3",$C64)),ISNUMBER(SEARCH("H3 receptor",$C64)),ISNUMBER(SEARCH("Muscarinic",$C64)),ISNUMBER(SEARCH("Nicotinic",$C64))),2,0)</f>
        <v/>
      </c>
    </row>
    <row r="65">
      <c r="A65" s="5" t="n">
        <v>1</v>
      </c>
      <c r="B65" s="6" t="inlineStr">
        <is>
          <t>E2012</t>
        </is>
      </c>
      <c r="C65" s="7" t="inlineStr">
        <is>
          <t>γ-secretase modulator</t>
        </is>
      </c>
      <c r="D65" s="7" t="inlineStr">
        <is>
          <t>Early AD / healthy volunteer studies</t>
        </is>
      </c>
      <c r="E65" s="7" t="inlineStr">
        <is>
          <t>Discontinued (safety concerns reported)</t>
        </is>
      </c>
      <c r="F65" s="7" t="inlineStr">
        <is>
          <t>Safety</t>
        </is>
      </c>
      <c r="G65" s="7" t="inlineStr">
        <is>
          <t>Pleiotropy/toxicity=1; Safety burden=1; Ancestry modifier unmodeled=1</t>
        </is>
      </c>
      <c r="H65" s="6" t="inlineStr">
        <is>
          <t>Low</t>
        </is>
      </c>
      <c r="I65" s="7" t="inlineStr"/>
      <c r="J65" s="5" t="inlineStr">
        <is>
          <t>Unknown</t>
        </is>
      </c>
      <c r="K65" s="5" t="inlineStr">
        <is>
          <t>Unknown</t>
        </is>
      </c>
      <c r="L65" s="5" t="inlineStr">
        <is>
          <t>Unknown</t>
        </is>
      </c>
      <c r="M65" s="8" t="n"/>
      <c r="N65" s="5" t="n">
        <v>1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1</v>
      </c>
      <c r="T65" s="5" t="n">
        <v>0</v>
      </c>
      <c r="U65" s="5" t="n">
        <v>1</v>
      </c>
      <c r="V65" s="6">
        <f>SUM(N65:U65)+Z65</f>
        <v/>
      </c>
      <c r="W65" s="6">
        <f>IF(V65&lt;=Params!$B$2,"Low",IF(V65&lt;=Params!$B$3,"Medium","High"))</f>
        <v/>
      </c>
      <c r="X65" s="6">
        <f>IF(W65="High",1,0)</f>
        <v/>
      </c>
      <c r="Y65">
        <f>IF(OR(ISNUMBER(SEARCH("Cholinesterase",$C65)),ISNUMBER(SEARCH("NMDA",$C65)),ISNUMBER(SEARCH("5-HT6",$C65)),ISNUMBER(SEARCH("H3",$C65)),ISNUMBER(SEARCH("Muscarinic",$C65)),ISNUMBER(SEARCH("Nicotinic",$C65)),ISNUMBER(SEARCH("ampakine",$C65)),ISNUMBER(SEARCH("antipsychotic",$C65)),ISNUMBER(SEARCH("symptomatic",$C65))),"Symptomatic","DMT")</f>
        <v/>
      </c>
      <c r="Z65">
        <f>IF(OR(ISNUMBER(SEARCH("5-HT6",$C65)),ISNUMBER(SEARCH("Histamine H3",$C65)),ISNUMBER(SEARCH("H3 receptor",$C65)),ISNUMBER(SEARCH("Muscarinic",$C65)),ISNUMBER(SEARCH("Nicotinic",$C65))),2,0)</f>
        <v/>
      </c>
    </row>
    <row r="66">
      <c r="A66" s="5" t="n">
        <v>1</v>
      </c>
      <c r="B66" s="6" t="inlineStr">
        <is>
          <t>Zagotenemab (LY3303560)</t>
        </is>
      </c>
      <c r="C66" s="7" t="inlineStr">
        <is>
          <t>Anti-tau monoclonal antibody</t>
        </is>
      </c>
      <c r="D66" s="7" t="inlineStr">
        <is>
          <t>Early symptomatic AD</t>
        </is>
      </c>
      <c r="E66" s="7" t="inlineStr">
        <is>
          <t>Phase 2 negative; discontinued in AD</t>
        </is>
      </c>
      <c r="F66" s="7" t="inlineStr">
        <is>
          <t>Efficacy</t>
        </is>
      </c>
      <c r="G66" s="7" t="inlineStr">
        <is>
          <t>Pleiotropy/toxicity=1; Wrong species=2; Human causality weak=1; Target engagement hard=1; Safety burden=1</t>
        </is>
      </c>
      <c r="H66" s="6" t="inlineStr">
        <is>
          <t>Medium</t>
        </is>
      </c>
      <c r="I66" s="7" t="inlineStr"/>
      <c r="J66" s="5" t="inlineStr">
        <is>
          <t>Unknown</t>
        </is>
      </c>
      <c r="K66" s="5" t="inlineStr">
        <is>
          <t>Unknown</t>
        </is>
      </c>
      <c r="L66" s="5" t="inlineStr">
        <is>
          <t>Unknown</t>
        </is>
      </c>
      <c r="M66" s="8" t="n"/>
      <c r="N66" s="5" t="n">
        <v>1</v>
      </c>
      <c r="O66" s="5" t="n">
        <v>2</v>
      </c>
      <c r="P66" s="5" t="n">
        <v>0</v>
      </c>
      <c r="Q66" s="5" t="n">
        <v>1</v>
      </c>
      <c r="R66" s="5" t="n">
        <v>1</v>
      </c>
      <c r="S66" s="5" t="n">
        <v>1</v>
      </c>
      <c r="T66" s="5" t="n">
        <v>0</v>
      </c>
      <c r="U66" s="5" t="n">
        <v>0</v>
      </c>
      <c r="V66" s="6">
        <f>SUM(N66:U66)+Z66</f>
        <v/>
      </c>
      <c r="W66" s="6">
        <f>IF(V66&lt;=Params!$B$2,"Low",IF(V66&lt;=Params!$B$3,"Medium","High"))</f>
        <v/>
      </c>
      <c r="X66" s="6">
        <f>IF(W66="High",1,0)</f>
        <v/>
      </c>
      <c r="Y66">
        <f>IF(OR(ISNUMBER(SEARCH("Cholinesterase",$C66)),ISNUMBER(SEARCH("NMDA",$C66)),ISNUMBER(SEARCH("5-HT6",$C66)),ISNUMBER(SEARCH("H3",$C66)),ISNUMBER(SEARCH("Muscarinic",$C66)),ISNUMBER(SEARCH("Nicotinic",$C66)),ISNUMBER(SEARCH("ampakine",$C66)),ISNUMBER(SEARCH("antipsychotic",$C66)),ISNUMBER(SEARCH("symptomatic",$C66))),"Symptomatic","DMT")</f>
        <v/>
      </c>
      <c r="Z66">
        <f>IF(OR(ISNUMBER(SEARCH("5-HT6",$C66)),ISNUMBER(SEARCH("Histamine H3",$C66)),ISNUMBER(SEARCH("H3 receptor",$C66)),ISNUMBER(SEARCH("Muscarinic",$C66)),ISNUMBER(SEARCH("Nicotinic",$C66))),2,0)</f>
        <v/>
      </c>
    </row>
    <row r="67">
      <c r="A67" s="5" t="n">
        <v>1</v>
      </c>
      <c r="B67" s="6" t="inlineStr">
        <is>
          <t>BIIB076</t>
        </is>
      </c>
      <c r="C67" s="7" t="inlineStr">
        <is>
          <t>Anti-tau monoclonal antibody</t>
        </is>
      </c>
      <c r="D67" s="7" t="inlineStr">
        <is>
          <t>Early AD (planned/early trials)</t>
        </is>
      </c>
      <c r="E67" s="7" t="inlineStr">
        <is>
          <t>Discontinued</t>
        </is>
      </c>
      <c r="F67" s="7" t="inlineStr">
        <is>
          <t>Other/Strategic</t>
        </is>
      </c>
      <c r="G67" s="7" t="inlineStr">
        <is>
          <t>Pleiotropy/toxicity=1; Wrong species=2; Human causality weak=1; Target engagement hard=1; Safety burden=1</t>
        </is>
      </c>
      <c r="H67" s="6" t="inlineStr">
        <is>
          <t>Medium</t>
        </is>
      </c>
      <c r="I67" s="7" t="inlineStr"/>
      <c r="J67" s="5" t="inlineStr">
        <is>
          <t>Unknown</t>
        </is>
      </c>
      <c r="K67" s="5" t="inlineStr">
        <is>
          <t>Unknown</t>
        </is>
      </c>
      <c r="L67" s="5" t="inlineStr">
        <is>
          <t>Unknown</t>
        </is>
      </c>
      <c r="M67" s="8" t="n"/>
      <c r="N67" s="5" t="n">
        <v>1</v>
      </c>
      <c r="O67" s="5" t="n">
        <v>2</v>
      </c>
      <c r="P67" s="5" t="n">
        <v>0</v>
      </c>
      <c r="Q67" s="5" t="n">
        <v>1</v>
      </c>
      <c r="R67" s="5" t="n">
        <v>1</v>
      </c>
      <c r="S67" s="5" t="n">
        <v>1</v>
      </c>
      <c r="T67" s="5" t="n">
        <v>0</v>
      </c>
      <c r="U67" s="5" t="n">
        <v>0</v>
      </c>
      <c r="V67" s="6">
        <f>SUM(N67:U67)+Z67</f>
        <v/>
      </c>
      <c r="W67" s="6">
        <f>IF(V67&lt;=Params!$B$2,"Low",IF(V67&lt;=Params!$B$3,"Medium","High"))</f>
        <v/>
      </c>
      <c r="X67" s="6">
        <f>IF(W67="High",1,0)</f>
        <v/>
      </c>
      <c r="Y67">
        <f>IF(OR(ISNUMBER(SEARCH("Cholinesterase",$C67)),ISNUMBER(SEARCH("NMDA",$C67)),ISNUMBER(SEARCH("5-HT6",$C67)),ISNUMBER(SEARCH("H3",$C67)),ISNUMBER(SEARCH("Muscarinic",$C67)),ISNUMBER(SEARCH("Nicotinic",$C67)),ISNUMBER(SEARCH("ampakine",$C67)),ISNUMBER(SEARCH("antipsychotic",$C67)),ISNUMBER(SEARCH("symptomatic",$C67))),"Symptomatic","DMT")</f>
        <v/>
      </c>
      <c r="Z67">
        <f>IF(OR(ISNUMBER(SEARCH("5-HT6",$C67)),ISNUMBER(SEARCH("Histamine H3",$C67)),ISNUMBER(SEARCH("H3 receptor",$C67)),ISNUMBER(SEARCH("Muscarinic",$C67)),ISNUMBER(SEARCH("Nicotinic",$C67))),2,0)</f>
        <v/>
      </c>
    </row>
    <row r="68">
      <c r="A68" s="5" t="n">
        <v>1</v>
      </c>
      <c r="B68" s="6" t="inlineStr">
        <is>
          <t>Tideglusib</t>
        </is>
      </c>
      <c r="C68" s="7" t="inlineStr">
        <is>
          <t>GSK-3β inhibitor (tau phosphorylation)</t>
        </is>
      </c>
      <c r="D68" s="7" t="inlineStr">
        <is>
          <t>Mild–moderate AD dementia</t>
        </is>
      </c>
      <c r="E68" s="7" t="inlineStr">
        <is>
          <t>No benefit in trials; discontinued</t>
        </is>
      </c>
      <c r="F68" s="7" t="inlineStr">
        <is>
          <t>Efficacy</t>
        </is>
      </c>
      <c r="G68" s="7" t="inlineStr">
        <is>
          <t>Pleiotropy/toxicity=2; Stage mismatch=1; Human causality weak=1; Target engagement hard=2; Safety burden=2</t>
        </is>
      </c>
      <c r="H68" s="6" t="inlineStr">
        <is>
          <t>Medium</t>
        </is>
      </c>
      <c r="I68" s="7" t="inlineStr"/>
      <c r="J68" s="5" t="inlineStr">
        <is>
          <t>Unknown</t>
        </is>
      </c>
      <c r="K68" s="5" t="inlineStr">
        <is>
          <t>Unknown</t>
        </is>
      </c>
      <c r="L68" s="5" t="inlineStr">
        <is>
          <t>Unknown</t>
        </is>
      </c>
      <c r="M68" s="8" t="n"/>
      <c r="N68" s="5" t="n">
        <v>2</v>
      </c>
      <c r="O68" s="5" t="n">
        <v>0</v>
      </c>
      <c r="P68" s="5" t="n">
        <v>1</v>
      </c>
      <c r="Q68" s="5" t="n">
        <v>1</v>
      </c>
      <c r="R68" s="5" t="n">
        <v>2</v>
      </c>
      <c r="S68" s="5" t="n">
        <v>2</v>
      </c>
      <c r="T68" s="5" t="n">
        <v>0</v>
      </c>
      <c r="U68" s="5" t="n">
        <v>0</v>
      </c>
      <c r="V68" s="6">
        <f>SUM(N68:U68)+Z68</f>
        <v/>
      </c>
      <c r="W68" s="6">
        <f>IF(V68&lt;=Params!$B$2,"Low",IF(V68&lt;=Params!$B$3,"Medium","High"))</f>
        <v/>
      </c>
      <c r="X68" s="6">
        <f>IF(W68="High",1,0)</f>
        <v/>
      </c>
      <c r="Y68">
        <f>IF(OR(ISNUMBER(SEARCH("Cholinesterase",$C68)),ISNUMBER(SEARCH("NMDA",$C68)),ISNUMBER(SEARCH("5-HT6",$C68)),ISNUMBER(SEARCH("H3",$C68)),ISNUMBER(SEARCH("Muscarinic",$C68)),ISNUMBER(SEARCH("Nicotinic",$C68)),ISNUMBER(SEARCH("ampakine",$C68)),ISNUMBER(SEARCH("antipsychotic",$C68)),ISNUMBER(SEARCH("symptomatic",$C68))),"Symptomatic","DMT")</f>
        <v/>
      </c>
      <c r="Z68">
        <f>IF(OR(ISNUMBER(SEARCH("5-HT6",$C68)),ISNUMBER(SEARCH("Histamine H3",$C68)),ISNUMBER(SEARCH("H3 receptor",$C68)),ISNUMBER(SEARCH("Muscarinic",$C68)),ISNUMBER(SEARCH("Nicotinic",$C68))),2,0)</f>
        <v/>
      </c>
    </row>
    <row r="69">
      <c r="A69" s="5" t="n">
        <v>1</v>
      </c>
      <c r="B69" s="6" t="inlineStr">
        <is>
          <t>Davunetide (NAP)</t>
        </is>
      </c>
      <c r="C69" s="7" t="inlineStr">
        <is>
          <t>Microtubule stabilizer / neuroprotective peptide</t>
        </is>
      </c>
      <c r="D69" s="7" t="inlineStr">
        <is>
          <t>Mild cognitive impairment / early AD</t>
        </is>
      </c>
      <c r="E69" s="7" t="inlineStr">
        <is>
          <t>No clinical benefit; discontinued</t>
        </is>
      </c>
      <c r="F69" s="7" t="inlineStr">
        <is>
          <t>Efficacy</t>
        </is>
      </c>
      <c r="G69" s="7" t="inlineStr">
        <is>
          <t>Pleiotropy/toxicity=2; Human causality weak=1; Target engagement hard=2; Safety burden=2</t>
        </is>
      </c>
      <c r="H69" s="6" t="inlineStr">
        <is>
          <t>Medium</t>
        </is>
      </c>
      <c r="I69" s="7" t="inlineStr"/>
      <c r="J69" s="5" t="inlineStr">
        <is>
          <t>Unknown</t>
        </is>
      </c>
      <c r="K69" s="5" t="inlineStr">
        <is>
          <t>Unknown</t>
        </is>
      </c>
      <c r="L69" s="5" t="inlineStr">
        <is>
          <t>Unknown</t>
        </is>
      </c>
      <c r="M69" s="8" t="n"/>
      <c r="N69" s="5" t="n">
        <v>2</v>
      </c>
      <c r="O69" s="5" t="n">
        <v>0</v>
      </c>
      <c r="P69" s="5" t="n">
        <v>0</v>
      </c>
      <c r="Q69" s="5" t="n">
        <v>1</v>
      </c>
      <c r="R69" s="5" t="n">
        <v>2</v>
      </c>
      <c r="S69" s="5" t="n">
        <v>2</v>
      </c>
      <c r="T69" s="5" t="n">
        <v>0</v>
      </c>
      <c r="U69" s="5" t="n">
        <v>0</v>
      </c>
      <c r="V69" s="6">
        <f>SUM(N69:U69)+Z69</f>
        <v/>
      </c>
      <c r="W69" s="6">
        <f>IF(V69&lt;=Params!$B$2,"Low",IF(V69&lt;=Params!$B$3,"Medium","High"))</f>
        <v/>
      </c>
      <c r="X69" s="6">
        <f>IF(W69="High",1,0)</f>
        <v/>
      </c>
      <c r="Y69">
        <f>IF(OR(ISNUMBER(SEARCH("Cholinesterase",$C69)),ISNUMBER(SEARCH("NMDA",$C69)),ISNUMBER(SEARCH("5-HT6",$C69)),ISNUMBER(SEARCH("H3",$C69)),ISNUMBER(SEARCH("Muscarinic",$C69)),ISNUMBER(SEARCH("Nicotinic",$C69)),ISNUMBER(SEARCH("ampakine",$C69)),ISNUMBER(SEARCH("antipsychotic",$C69)),ISNUMBER(SEARCH("symptomatic",$C69))),"Symptomatic","DMT")</f>
        <v/>
      </c>
      <c r="Z69">
        <f>IF(OR(ISNUMBER(SEARCH("5-HT6",$C69)),ISNUMBER(SEARCH("Histamine H3",$C69)),ISNUMBER(SEARCH("H3 receptor",$C69)),ISNUMBER(SEARCH("Muscarinic",$C69)),ISNUMBER(SEARCH("Nicotinic",$C69))),2,0)</f>
        <v/>
      </c>
    </row>
    <row r="70">
      <c r="A70" s="5" t="n">
        <v>1</v>
      </c>
      <c r="B70" s="6" t="inlineStr">
        <is>
          <t>Lithium</t>
        </is>
      </c>
      <c r="C70" s="7" t="inlineStr">
        <is>
          <t>GSK-3 inhibitor (repurposed)</t>
        </is>
      </c>
      <c r="D70" s="7" t="inlineStr">
        <is>
          <t>AD dementia</t>
        </is>
      </c>
      <c r="E70" s="7" t="inlineStr">
        <is>
          <t>No clear efficacy signal; not advanced</t>
        </is>
      </c>
      <c r="F70" s="7" t="inlineStr">
        <is>
          <t>Efficacy</t>
        </is>
      </c>
      <c r="G70" s="7" t="inlineStr">
        <is>
          <t>Pleiotropy/toxicity=2; Stage mismatch=1; Human causality weak=1; Target engagement hard=2; Safety burden=2</t>
        </is>
      </c>
      <c r="H70" s="6" t="inlineStr">
        <is>
          <t>Medium</t>
        </is>
      </c>
      <c r="I70" s="7" t="inlineStr"/>
      <c r="J70" s="5" t="inlineStr">
        <is>
          <t>Unknown</t>
        </is>
      </c>
      <c r="K70" s="5" t="inlineStr">
        <is>
          <t>Unknown</t>
        </is>
      </c>
      <c r="L70" s="5" t="inlineStr">
        <is>
          <t>Unknown</t>
        </is>
      </c>
      <c r="M70" s="8" t="n"/>
      <c r="N70" s="5" t="n">
        <v>2</v>
      </c>
      <c r="O70" s="5" t="n">
        <v>0</v>
      </c>
      <c r="P70" s="5" t="n">
        <v>1</v>
      </c>
      <c r="Q70" s="5" t="n">
        <v>1</v>
      </c>
      <c r="R70" s="5" t="n">
        <v>2</v>
      </c>
      <c r="S70" s="5" t="n">
        <v>2</v>
      </c>
      <c r="T70" s="5" t="n">
        <v>0</v>
      </c>
      <c r="U70" s="5" t="n">
        <v>0</v>
      </c>
      <c r="V70" s="6">
        <f>SUM(N70:U70)+Z70</f>
        <v/>
      </c>
      <c r="W70" s="6">
        <f>IF(V70&lt;=Params!$B$2,"Low",IF(V70&lt;=Params!$B$3,"Medium","High"))</f>
        <v/>
      </c>
      <c r="X70" s="6">
        <f>IF(W70="High",1,0)</f>
        <v/>
      </c>
      <c r="Y70">
        <f>IF(OR(ISNUMBER(SEARCH("Cholinesterase",$C70)),ISNUMBER(SEARCH("NMDA",$C70)),ISNUMBER(SEARCH("5-HT6",$C70)),ISNUMBER(SEARCH("H3",$C70)),ISNUMBER(SEARCH("Muscarinic",$C70)),ISNUMBER(SEARCH("Nicotinic",$C70)),ISNUMBER(SEARCH("ampakine",$C70)),ISNUMBER(SEARCH("antipsychotic",$C70)),ISNUMBER(SEARCH("symptomatic",$C70))),"Symptomatic","DMT")</f>
        <v/>
      </c>
      <c r="Z70">
        <f>IF(OR(ISNUMBER(SEARCH("5-HT6",$C70)),ISNUMBER(SEARCH("Histamine H3",$C70)),ISNUMBER(SEARCH("H3 receptor",$C70)),ISNUMBER(SEARCH("Muscarinic",$C70)),ISNUMBER(SEARCH("Nicotinic",$C70))),2,0)</f>
        <v/>
      </c>
    </row>
    <row r="71">
      <c r="A71" s="5" t="n">
        <v>1</v>
      </c>
      <c r="B71" s="6" t="inlineStr">
        <is>
          <t>Divalproex sodium (Valproate)</t>
        </is>
      </c>
      <c r="C71" s="7" t="inlineStr">
        <is>
          <t>Mood stabilizer / neuroprotective hypothesis</t>
        </is>
      </c>
      <c r="D71" s="7" t="inlineStr">
        <is>
          <t>AD dementia / prevention of agitation</t>
        </is>
      </c>
      <c r="E71" s="7" t="inlineStr">
        <is>
          <t>No benefit; tolerability issues</t>
        </is>
      </c>
      <c r="F71" s="7" t="inlineStr">
        <is>
          <t>Safety + efficacy</t>
        </is>
      </c>
      <c r="G71" s="7" t="inlineStr">
        <is>
          <t>Pleiotropy/toxicity=1; Human causality weak=2; Target engagement hard=2; Safety burden=1</t>
        </is>
      </c>
      <c r="H71" s="6" t="inlineStr">
        <is>
          <t>Medium</t>
        </is>
      </c>
      <c r="I71" s="7" t="inlineStr"/>
      <c r="J71" s="5" t="inlineStr">
        <is>
          <t>Unknown</t>
        </is>
      </c>
      <c r="K71" s="5" t="inlineStr">
        <is>
          <t>Unknown</t>
        </is>
      </c>
      <c r="L71" s="5" t="inlineStr">
        <is>
          <t>Unknown</t>
        </is>
      </c>
      <c r="M71" s="8" t="n"/>
      <c r="N71" s="5" t="n">
        <v>1</v>
      </c>
      <c r="O71" s="5" t="n">
        <v>0</v>
      </c>
      <c r="P71" s="5" t="n">
        <v>0</v>
      </c>
      <c r="Q71" s="5" t="n">
        <v>2</v>
      </c>
      <c r="R71" s="5" t="n">
        <v>2</v>
      </c>
      <c r="S71" s="5" t="n">
        <v>1</v>
      </c>
      <c r="T71" s="5" t="n">
        <v>0</v>
      </c>
      <c r="U71" s="5" t="n">
        <v>0</v>
      </c>
      <c r="V71" s="6">
        <f>SUM(N71:U71)+Z71</f>
        <v/>
      </c>
      <c r="W71" s="6">
        <f>IF(V71&lt;=Params!$B$2,"Low",IF(V71&lt;=Params!$B$3,"Medium","High"))</f>
        <v/>
      </c>
      <c r="X71" s="6">
        <f>IF(W71="High",1,0)</f>
        <v/>
      </c>
      <c r="Y71">
        <f>IF(OR(ISNUMBER(SEARCH("Cholinesterase",$C71)),ISNUMBER(SEARCH("NMDA",$C71)),ISNUMBER(SEARCH("5-HT6",$C71)),ISNUMBER(SEARCH("H3",$C71)),ISNUMBER(SEARCH("Muscarinic",$C71)),ISNUMBER(SEARCH("Nicotinic",$C71)),ISNUMBER(SEARCH("ampakine",$C71)),ISNUMBER(SEARCH("antipsychotic",$C71)),ISNUMBER(SEARCH("symptomatic",$C71))),"Symptomatic","DMT")</f>
        <v/>
      </c>
      <c r="Z71">
        <f>IF(OR(ISNUMBER(SEARCH("5-HT6",$C71)),ISNUMBER(SEARCH("Histamine H3",$C71)),ISNUMBER(SEARCH("H3 receptor",$C71)),ISNUMBER(SEARCH("Muscarinic",$C71)),ISNUMBER(SEARCH("Nicotinic",$C71))),2,0)</f>
        <v/>
      </c>
    </row>
    <row r="72">
      <c r="A72" s="5" t="n">
        <v>1</v>
      </c>
      <c r="B72" s="6" t="inlineStr">
        <is>
          <t>Latrepirdine (Dimebon)</t>
        </is>
      </c>
      <c r="C72" s="7" t="inlineStr">
        <is>
          <t>Mitochondrial / antihistamine (repurposed)</t>
        </is>
      </c>
      <c r="D72" s="7" t="inlineStr">
        <is>
          <t>Mild–moderate AD dementia</t>
        </is>
      </c>
      <c r="E72" s="7" t="inlineStr">
        <is>
          <t>Failed Phase 3</t>
        </is>
      </c>
      <c r="F72" s="7" t="inlineStr">
        <is>
          <t>Efficacy</t>
        </is>
      </c>
      <c r="G72" s="7" t="inlineStr">
        <is>
          <t>Pleiotropy/toxicity=1; Human causality weak=1; Target engagement hard=1; Safety burden=1</t>
        </is>
      </c>
      <c r="H72" s="6" t="inlineStr">
        <is>
          <t>Low</t>
        </is>
      </c>
      <c r="I72" s="7" t="inlineStr"/>
      <c r="J72" s="5" t="inlineStr">
        <is>
          <t>Unknown</t>
        </is>
      </c>
      <c r="K72" s="5" t="inlineStr">
        <is>
          <t>Unknown</t>
        </is>
      </c>
      <c r="L72" s="5" t="inlineStr">
        <is>
          <t>Unknown</t>
        </is>
      </c>
      <c r="M72" s="8" t="n"/>
      <c r="N72" s="5" t="n">
        <v>1</v>
      </c>
      <c r="O72" s="5" t="n">
        <v>0</v>
      </c>
      <c r="P72" s="5" t="n">
        <v>0</v>
      </c>
      <c r="Q72" s="5" t="n">
        <v>1</v>
      </c>
      <c r="R72" s="5" t="n">
        <v>1</v>
      </c>
      <c r="S72" s="5" t="n">
        <v>1</v>
      </c>
      <c r="T72" s="5" t="n">
        <v>0</v>
      </c>
      <c r="U72" s="5" t="n">
        <v>0</v>
      </c>
      <c r="V72" s="6">
        <f>SUM(N72:U72)+Z72</f>
        <v/>
      </c>
      <c r="W72" s="6">
        <f>IF(V72&lt;=Params!$B$2,"Low",IF(V72&lt;=Params!$B$3,"Medium","High"))</f>
        <v/>
      </c>
      <c r="X72" s="6">
        <f>IF(W72="High",1,0)</f>
        <v/>
      </c>
      <c r="Y72">
        <f>IF(OR(ISNUMBER(SEARCH("Cholinesterase",$C72)),ISNUMBER(SEARCH("NMDA",$C72)),ISNUMBER(SEARCH("5-HT6",$C72)),ISNUMBER(SEARCH("H3",$C72)),ISNUMBER(SEARCH("Muscarinic",$C72)),ISNUMBER(SEARCH("Nicotinic",$C72)),ISNUMBER(SEARCH("ampakine",$C72)),ISNUMBER(SEARCH("antipsychotic",$C72)),ISNUMBER(SEARCH("symptomatic",$C72))),"Symptomatic","DMT")</f>
        <v/>
      </c>
      <c r="Z72">
        <f>IF(OR(ISNUMBER(SEARCH("5-HT6",$C72)),ISNUMBER(SEARCH("Histamine H3",$C72)),ISNUMBER(SEARCH("H3 receptor",$C72)),ISNUMBER(SEARCH("Muscarinic",$C72)),ISNUMBER(SEARCH("Nicotinic",$C72))),2,0)</f>
        <v/>
      </c>
    </row>
    <row r="73">
      <c r="A73" s="5" t="n">
        <v>1</v>
      </c>
      <c r="B73" s="6" t="inlineStr">
        <is>
          <t>Bryostatin-1</t>
        </is>
      </c>
      <c r="C73" s="7" t="inlineStr">
        <is>
          <t>PKC activator (synaptogenic)</t>
        </is>
      </c>
      <c r="D73" s="7" t="inlineStr">
        <is>
          <t>Moderate–severe AD dementia</t>
        </is>
      </c>
      <c r="E73" s="7" t="inlineStr">
        <is>
          <t>Failed trials / discontinued</t>
        </is>
      </c>
      <c r="F73" s="7" t="inlineStr">
        <is>
          <t>Efficacy</t>
        </is>
      </c>
      <c r="G73" s="7" t="inlineStr">
        <is>
          <t>Pleiotropy/toxicity=2; Stage mismatch=2; Human causality weak=1; Target engagement hard=2; Safety burden=2</t>
        </is>
      </c>
      <c r="H73" s="6" t="inlineStr">
        <is>
          <t>Medium</t>
        </is>
      </c>
      <c r="I73" s="7" t="inlineStr"/>
      <c r="J73" s="5" t="inlineStr">
        <is>
          <t>Unknown</t>
        </is>
      </c>
      <c r="K73" s="5" t="inlineStr">
        <is>
          <t>Unknown</t>
        </is>
      </c>
      <c r="L73" s="5" t="inlineStr">
        <is>
          <t>Unknown</t>
        </is>
      </c>
      <c r="M73" s="8" t="n"/>
      <c r="N73" s="5" t="n">
        <v>2</v>
      </c>
      <c r="O73" s="5" t="n">
        <v>0</v>
      </c>
      <c r="P73" s="5" t="n">
        <v>2</v>
      </c>
      <c r="Q73" s="5" t="n">
        <v>1</v>
      </c>
      <c r="R73" s="5" t="n">
        <v>2</v>
      </c>
      <c r="S73" s="5" t="n">
        <v>2</v>
      </c>
      <c r="T73" s="5" t="n">
        <v>0</v>
      </c>
      <c r="U73" s="5" t="n">
        <v>0</v>
      </c>
      <c r="V73" s="6">
        <f>SUM(N73:U73)+Z73</f>
        <v/>
      </c>
      <c r="W73" s="6">
        <f>IF(V73&lt;=Params!$B$2,"Low",IF(V73&lt;=Params!$B$3,"Medium","High"))</f>
        <v/>
      </c>
      <c r="X73" s="6">
        <f>IF(W73="High",1,0)</f>
        <v/>
      </c>
      <c r="Y73">
        <f>IF(OR(ISNUMBER(SEARCH("Cholinesterase",$C73)),ISNUMBER(SEARCH("NMDA",$C73)),ISNUMBER(SEARCH("5-HT6",$C73)),ISNUMBER(SEARCH("H3",$C73)),ISNUMBER(SEARCH("Muscarinic",$C73)),ISNUMBER(SEARCH("Nicotinic",$C73)),ISNUMBER(SEARCH("ampakine",$C73)),ISNUMBER(SEARCH("antipsychotic",$C73)),ISNUMBER(SEARCH("symptomatic",$C73))),"Symptomatic","DMT")</f>
        <v/>
      </c>
      <c r="Z73">
        <f>IF(OR(ISNUMBER(SEARCH("5-HT6",$C73)),ISNUMBER(SEARCH("Histamine H3",$C73)),ISNUMBER(SEARCH("H3 receptor",$C73)),ISNUMBER(SEARCH("Muscarinic",$C73)),ISNUMBER(SEARCH("Nicotinic",$C73))),2,0)</f>
        <v/>
      </c>
    </row>
    <row r="74">
      <c r="A74" s="5" t="n">
        <v>1</v>
      </c>
      <c r="B74" s="6" t="inlineStr">
        <is>
          <t>AVP-786</t>
        </is>
      </c>
      <c r="C74" s="7" t="inlineStr">
        <is>
          <t>Deuterated dextromethorphan/quinidine (BPSD)</t>
        </is>
      </c>
      <c r="D74" s="7" t="inlineStr">
        <is>
          <t>Agitation in Alzheimer’s dementia</t>
        </is>
      </c>
      <c r="E74" s="7" t="inlineStr">
        <is>
          <t>Failed trials / discontinued</t>
        </is>
      </c>
      <c r="F74" s="7" t="inlineStr">
        <is>
          <t>Efficacy</t>
        </is>
      </c>
      <c r="G74" s="7" t="inlineStr">
        <is>
          <t>Pleiotropy/toxicity=1; Human causality weak=2; Target engagement hard=2; Safety burden=1</t>
        </is>
      </c>
      <c r="H74" s="6" t="inlineStr">
        <is>
          <t>Medium</t>
        </is>
      </c>
      <c r="I74" s="7" t="inlineStr"/>
      <c r="J74" s="5" t="inlineStr">
        <is>
          <t>Unknown</t>
        </is>
      </c>
      <c r="K74" s="5" t="inlineStr">
        <is>
          <t>Unknown</t>
        </is>
      </c>
      <c r="L74" s="5" t="inlineStr">
        <is>
          <t>Unknown</t>
        </is>
      </c>
      <c r="M74" s="8" t="n"/>
      <c r="N74" s="5" t="n">
        <v>1</v>
      </c>
      <c r="O74" s="5" t="n">
        <v>0</v>
      </c>
      <c r="P74" s="5" t="n">
        <v>0</v>
      </c>
      <c r="Q74" s="5" t="n">
        <v>2</v>
      </c>
      <c r="R74" s="5" t="n">
        <v>2</v>
      </c>
      <c r="S74" s="5" t="n">
        <v>1</v>
      </c>
      <c r="T74" s="5" t="n">
        <v>0</v>
      </c>
      <c r="U74" s="5" t="n">
        <v>0</v>
      </c>
      <c r="V74" s="6">
        <f>SUM(N74:U74)+Z74</f>
        <v/>
      </c>
      <c r="W74" s="6">
        <f>IF(V74&lt;=Params!$B$2,"Low",IF(V74&lt;=Params!$B$3,"Medium","High"))</f>
        <v/>
      </c>
      <c r="X74" s="6">
        <f>IF(W74="High",1,0)</f>
        <v/>
      </c>
      <c r="Y74">
        <f>IF(OR(ISNUMBER(SEARCH("Cholinesterase",$C74)),ISNUMBER(SEARCH("NMDA",$C74)),ISNUMBER(SEARCH("5-HT6",$C74)),ISNUMBER(SEARCH("H3",$C74)),ISNUMBER(SEARCH("Muscarinic",$C74)),ISNUMBER(SEARCH("Nicotinic",$C74)),ISNUMBER(SEARCH("ampakine",$C74)),ISNUMBER(SEARCH("antipsychotic",$C74)),ISNUMBER(SEARCH("symptomatic",$C74))),"Symptomatic","DMT")</f>
        <v/>
      </c>
      <c r="Z74">
        <f>IF(OR(ISNUMBER(SEARCH("5-HT6",$C74)),ISNUMBER(SEARCH("Histamine H3",$C74)),ISNUMBER(SEARCH("H3 receptor",$C74)),ISNUMBER(SEARCH("Muscarinic",$C74)),ISNUMBER(SEARCH("Nicotinic",$C74))),2,0)</f>
        <v/>
      </c>
    </row>
    <row r="75">
      <c r="A75" s="5" t="n">
        <v>1</v>
      </c>
      <c r="B75" s="6" t="inlineStr">
        <is>
          <t>Mibampator (LY451395)</t>
        </is>
      </c>
      <c r="C75" s="7" t="inlineStr">
        <is>
          <t>AMPA receptor modulator (ampakine)</t>
        </is>
      </c>
      <c r="D75" s="7" t="inlineStr">
        <is>
          <t>Mild–moderate AD dementia</t>
        </is>
      </c>
      <c r="E75" s="7" t="inlineStr">
        <is>
          <t>No benefit; discontinued</t>
        </is>
      </c>
      <c r="F75" s="7" t="inlineStr">
        <is>
          <t>Efficacy</t>
        </is>
      </c>
      <c r="G75" s="7" t="inlineStr">
        <is>
          <t>Pleiotropy/toxicity=1; Human causality weak=1; Target engagement hard=1; Safety burden=1</t>
        </is>
      </c>
      <c r="H75" s="6" t="inlineStr">
        <is>
          <t>Low</t>
        </is>
      </c>
      <c r="I75" s="7" t="inlineStr"/>
      <c r="J75" s="5" t="inlineStr">
        <is>
          <t>Unknown</t>
        </is>
      </c>
      <c r="K75" s="5" t="inlineStr">
        <is>
          <t>Unknown</t>
        </is>
      </c>
      <c r="L75" s="5" t="inlineStr">
        <is>
          <t>Unknown</t>
        </is>
      </c>
      <c r="M75" s="8" t="n"/>
      <c r="N75" s="5" t="n">
        <v>1</v>
      </c>
      <c r="O75" s="5" t="n">
        <v>0</v>
      </c>
      <c r="P75" s="5" t="n">
        <v>0</v>
      </c>
      <c r="Q75" s="5" t="n">
        <v>1</v>
      </c>
      <c r="R75" s="5" t="n">
        <v>1</v>
      </c>
      <c r="S75" s="5" t="n">
        <v>1</v>
      </c>
      <c r="T75" s="5" t="n">
        <v>0</v>
      </c>
      <c r="U75" s="5" t="n">
        <v>0</v>
      </c>
      <c r="V75" s="6">
        <f>SUM(N75:U75)+Z75</f>
        <v/>
      </c>
      <c r="W75" s="6">
        <f>IF(V75&lt;=Params!$B$2,"Low",IF(V75&lt;=Params!$B$3,"Medium","High"))</f>
        <v/>
      </c>
      <c r="X75" s="6">
        <f>IF(W75="High",1,0)</f>
        <v/>
      </c>
      <c r="Y75">
        <f>IF(OR(ISNUMBER(SEARCH("Cholinesterase",$C75)),ISNUMBER(SEARCH("NMDA",$C75)),ISNUMBER(SEARCH("5-HT6",$C75)),ISNUMBER(SEARCH("H3",$C75)),ISNUMBER(SEARCH("Muscarinic",$C75)),ISNUMBER(SEARCH("Nicotinic",$C75)),ISNUMBER(SEARCH("ampakine",$C75)),ISNUMBER(SEARCH("antipsychotic",$C75)),ISNUMBER(SEARCH("symptomatic",$C75))),"Symptomatic","DMT")</f>
        <v/>
      </c>
      <c r="Z75">
        <f>IF(OR(ISNUMBER(SEARCH("5-HT6",$C75)),ISNUMBER(SEARCH("Histamine H3",$C75)),ISNUMBER(SEARCH("H3 receptor",$C75)),ISNUMBER(SEARCH("Muscarinic",$C75)),ISNUMBER(SEARCH("Nicotinic",$C75))),2,0)</f>
        <v/>
      </c>
    </row>
    <row r="76">
      <c r="A76" s="5" t="n">
        <v>1</v>
      </c>
      <c r="B76" s="6" t="inlineStr">
        <is>
          <t>ABT-126</t>
        </is>
      </c>
      <c r="C76" s="7" t="inlineStr">
        <is>
          <t>α7 nicotinic ACh receptor agonist</t>
        </is>
      </c>
      <c r="D76" s="7" t="inlineStr">
        <is>
          <t>Mild–moderate AD dementia</t>
        </is>
      </c>
      <c r="E76" s="7" t="inlineStr">
        <is>
          <t>No benefit; discontinued</t>
        </is>
      </c>
      <c r="F76" s="7" t="inlineStr">
        <is>
          <t>Efficacy</t>
        </is>
      </c>
      <c r="G76" s="7" t="inlineStr">
        <is>
          <t>Pleiotropy/toxicity=1; Human causality weak=1; Target engagement hard=1; Safety burden=1</t>
        </is>
      </c>
      <c r="H76" s="6" t="inlineStr">
        <is>
          <t>Low</t>
        </is>
      </c>
      <c r="I76" s="7" t="inlineStr"/>
      <c r="J76" s="5" t="inlineStr">
        <is>
          <t>Unknown</t>
        </is>
      </c>
      <c r="K76" s="5" t="inlineStr">
        <is>
          <t>Unknown</t>
        </is>
      </c>
      <c r="L76" s="5" t="inlineStr">
        <is>
          <t>Unknown</t>
        </is>
      </c>
      <c r="M76" s="8" t="n"/>
      <c r="N76" s="5" t="n">
        <v>1</v>
      </c>
      <c r="O76" s="5" t="n">
        <v>0</v>
      </c>
      <c r="P76" s="5" t="n">
        <v>0</v>
      </c>
      <c r="Q76" s="5" t="n">
        <v>1</v>
      </c>
      <c r="R76" s="5" t="n">
        <v>1</v>
      </c>
      <c r="S76" s="5" t="n">
        <v>1</v>
      </c>
      <c r="T76" s="5" t="n">
        <v>0</v>
      </c>
      <c r="U76" s="5" t="n">
        <v>0</v>
      </c>
      <c r="V76" s="6">
        <f>SUM(N76:U76)+Z76</f>
        <v/>
      </c>
      <c r="W76" s="6">
        <f>IF(V76&lt;=Params!$B$2,"Low",IF(V76&lt;=Params!$B$3,"Medium","High"))</f>
        <v/>
      </c>
      <c r="X76" s="6">
        <f>IF(W76="High",1,0)</f>
        <v/>
      </c>
      <c r="Y76">
        <f>IF(OR(ISNUMBER(SEARCH("Cholinesterase",$C76)),ISNUMBER(SEARCH("NMDA",$C76)),ISNUMBER(SEARCH("5-HT6",$C76)),ISNUMBER(SEARCH("H3",$C76)),ISNUMBER(SEARCH("Muscarinic",$C76)),ISNUMBER(SEARCH("Nicotinic",$C76)),ISNUMBER(SEARCH("ampakine",$C76)),ISNUMBER(SEARCH("antipsychotic",$C76)),ISNUMBER(SEARCH("symptomatic",$C76))),"Symptomatic","DMT")</f>
        <v/>
      </c>
      <c r="Z76">
        <f>IF(OR(ISNUMBER(SEARCH("5-HT6",$C76)),ISNUMBER(SEARCH("Histamine H3",$C76)),ISNUMBER(SEARCH("H3 receptor",$C76)),ISNUMBER(SEARCH("Muscarinic",$C76)),ISNUMBER(SEARCH("Nicotinic",$C76))),2,0)</f>
        <v/>
      </c>
    </row>
    <row r="77">
      <c r="A77" s="5" t="n">
        <v>1</v>
      </c>
      <c r="B77" s="6" t="inlineStr">
        <is>
          <t>ABT-418</t>
        </is>
      </c>
      <c r="C77" s="7" t="inlineStr">
        <is>
          <t>Nicotinic receptor agonist</t>
        </is>
      </c>
      <c r="D77" s="7" t="inlineStr">
        <is>
          <t>AD dementia</t>
        </is>
      </c>
      <c r="E77" s="7" t="inlineStr">
        <is>
          <t>No clear benefit; discontinued</t>
        </is>
      </c>
      <c r="F77" s="7" t="inlineStr">
        <is>
          <t>Efficacy</t>
        </is>
      </c>
      <c r="G77" s="7" t="inlineStr">
        <is>
          <t>Pleiotropy/toxicity=1; Human causality weak=1; Target engagement hard=1; Safety burden=1</t>
        </is>
      </c>
      <c r="H77" s="6" t="inlineStr">
        <is>
          <t>Low</t>
        </is>
      </c>
      <c r="I77" s="7" t="inlineStr"/>
      <c r="J77" s="5" t="inlineStr">
        <is>
          <t>Unknown</t>
        </is>
      </c>
      <c r="K77" s="5" t="inlineStr">
        <is>
          <t>Unknown</t>
        </is>
      </c>
      <c r="L77" s="5" t="inlineStr">
        <is>
          <t>Unknown</t>
        </is>
      </c>
      <c r="M77" s="8" t="n"/>
      <c r="N77" s="5" t="n">
        <v>1</v>
      </c>
      <c r="O77" s="5" t="n">
        <v>0</v>
      </c>
      <c r="P77" s="5" t="n">
        <v>0</v>
      </c>
      <c r="Q77" s="5" t="n">
        <v>1</v>
      </c>
      <c r="R77" s="5" t="n">
        <v>1</v>
      </c>
      <c r="S77" s="5" t="n">
        <v>1</v>
      </c>
      <c r="T77" s="5" t="n">
        <v>0</v>
      </c>
      <c r="U77" s="5" t="n">
        <v>0</v>
      </c>
      <c r="V77" s="6">
        <f>SUM(N77:U77)+Z77</f>
        <v/>
      </c>
      <c r="W77" s="6">
        <f>IF(V77&lt;=Params!$B$2,"Low",IF(V77&lt;=Params!$B$3,"Medium","High"))</f>
        <v/>
      </c>
      <c r="X77" s="6">
        <f>IF(W77="High",1,0)</f>
        <v/>
      </c>
      <c r="Y77">
        <f>IF(OR(ISNUMBER(SEARCH("Cholinesterase",$C77)),ISNUMBER(SEARCH("NMDA",$C77)),ISNUMBER(SEARCH("5-HT6",$C77)),ISNUMBER(SEARCH("H3",$C77)),ISNUMBER(SEARCH("Muscarinic",$C77)),ISNUMBER(SEARCH("Nicotinic",$C77)),ISNUMBER(SEARCH("ampakine",$C77)),ISNUMBER(SEARCH("antipsychotic",$C77)),ISNUMBER(SEARCH("symptomatic",$C77))),"Symptomatic","DMT")</f>
        <v/>
      </c>
      <c r="Z77">
        <f>IF(OR(ISNUMBER(SEARCH("5-HT6",$C77)),ISNUMBER(SEARCH("Histamine H3",$C77)),ISNUMBER(SEARCH("H3 receptor",$C77)),ISNUMBER(SEARCH("Muscarinic",$C77)),ISNUMBER(SEARCH("Nicotinic",$C77))),2,0)</f>
        <v/>
      </c>
    </row>
    <row r="78">
      <c r="A78" s="5" t="n">
        <v>1</v>
      </c>
      <c r="B78" s="6" t="inlineStr">
        <is>
          <t>Metrifonate</t>
        </is>
      </c>
      <c r="C78" s="7" t="inlineStr">
        <is>
          <t>Cholinesterase inhibitor</t>
        </is>
      </c>
      <c r="D78" s="7" t="inlineStr">
        <is>
          <t>Mild–moderate AD dementia</t>
        </is>
      </c>
      <c r="E78" s="7" t="inlineStr">
        <is>
          <t>Development stopped (toxicity concerns)</t>
        </is>
      </c>
      <c r="F78" s="7" t="inlineStr">
        <is>
          <t>Safety</t>
        </is>
      </c>
      <c r="G78" s="7" t="inlineStr">
        <is>
          <t>Pleiotropy/toxicity=1; Safety burden=1</t>
        </is>
      </c>
      <c r="H78" s="6" t="inlineStr">
        <is>
          <t>Low</t>
        </is>
      </c>
      <c r="I78" s="7" t="inlineStr"/>
      <c r="J78" s="5" t="inlineStr">
        <is>
          <t>Unknown</t>
        </is>
      </c>
      <c r="K78" s="5" t="inlineStr">
        <is>
          <t>Unknown</t>
        </is>
      </c>
      <c r="L78" s="5" t="inlineStr">
        <is>
          <t>Unknown</t>
        </is>
      </c>
      <c r="M78" s="8" t="n"/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1</v>
      </c>
      <c r="T78" s="5" t="n">
        <v>0</v>
      </c>
      <c r="U78" s="5" t="n">
        <v>0</v>
      </c>
      <c r="V78" s="6">
        <f>SUM(N78:U78)+Z78</f>
        <v/>
      </c>
      <c r="W78" s="6">
        <f>IF(V78&lt;=Params!$B$2,"Low",IF(V78&lt;=Params!$B$3,"Medium","High"))</f>
        <v/>
      </c>
      <c r="X78" s="6">
        <f>IF(W78="High",1,0)</f>
        <v/>
      </c>
      <c r="Y78">
        <f>IF(OR(ISNUMBER(SEARCH("Cholinesterase",$C78)),ISNUMBER(SEARCH("NMDA",$C78)),ISNUMBER(SEARCH("5-HT6",$C78)),ISNUMBER(SEARCH("H3",$C78)),ISNUMBER(SEARCH("Muscarinic",$C78)),ISNUMBER(SEARCH("Nicotinic",$C78)),ISNUMBER(SEARCH("ampakine",$C78)),ISNUMBER(SEARCH("antipsychotic",$C78)),ISNUMBER(SEARCH("symptomatic",$C78))),"Symptomatic","DMT")</f>
        <v/>
      </c>
      <c r="Z78">
        <f>IF(OR(ISNUMBER(SEARCH("5-HT6",$C78)),ISNUMBER(SEARCH("Histamine H3",$C78)),ISNUMBER(SEARCH("H3 receptor",$C78)),ISNUMBER(SEARCH("Muscarinic",$C78)),ISNUMBER(SEARCH("Nicotinic",$C78))),2,0)</f>
        <v/>
      </c>
    </row>
    <row r="79">
      <c r="A79" s="5" t="n">
        <v>1</v>
      </c>
      <c r="B79" s="6" t="inlineStr">
        <is>
          <t>Eptastigmine</t>
        </is>
      </c>
      <c r="C79" s="7" t="inlineStr">
        <is>
          <t>Cholinesterase inhibitor</t>
        </is>
      </c>
      <c r="D79" s="7" t="inlineStr">
        <is>
          <t>Mild–moderate AD dementia</t>
        </is>
      </c>
      <c r="E79" s="7" t="inlineStr">
        <is>
          <t>Discontinued (toxicity/tolerability)</t>
        </is>
      </c>
      <c r="F79" s="7" t="inlineStr">
        <is>
          <t>Safety</t>
        </is>
      </c>
      <c r="G79" s="7" t="inlineStr">
        <is>
          <t>Pleiotropy/toxicity=1; Safety burden=1</t>
        </is>
      </c>
      <c r="H79" s="6" t="inlineStr">
        <is>
          <t>Low</t>
        </is>
      </c>
      <c r="I79" s="7" t="inlineStr"/>
      <c r="J79" s="5" t="inlineStr">
        <is>
          <t>Unknown</t>
        </is>
      </c>
      <c r="K79" s="5" t="inlineStr">
        <is>
          <t>Unknown</t>
        </is>
      </c>
      <c r="L79" s="5" t="inlineStr">
        <is>
          <t>Unknown</t>
        </is>
      </c>
      <c r="M79" s="8" t="n"/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1</v>
      </c>
      <c r="T79" s="5" t="n">
        <v>0</v>
      </c>
      <c r="U79" s="5" t="n">
        <v>0</v>
      </c>
      <c r="V79" s="6">
        <f>SUM(N79:U79)+Z79</f>
        <v/>
      </c>
      <c r="W79" s="6">
        <f>IF(V79&lt;=Params!$B$2,"Low",IF(V79&lt;=Params!$B$3,"Medium","High"))</f>
        <v/>
      </c>
      <c r="X79" s="6">
        <f>IF(W79="High",1,0)</f>
        <v/>
      </c>
      <c r="Y79">
        <f>IF(OR(ISNUMBER(SEARCH("Cholinesterase",$C79)),ISNUMBER(SEARCH("NMDA",$C79)),ISNUMBER(SEARCH("5-HT6",$C79)),ISNUMBER(SEARCH("H3",$C79)),ISNUMBER(SEARCH("Muscarinic",$C79)),ISNUMBER(SEARCH("Nicotinic",$C79)),ISNUMBER(SEARCH("ampakine",$C79)),ISNUMBER(SEARCH("antipsychotic",$C79)),ISNUMBER(SEARCH("symptomatic",$C79))),"Symptomatic","DMT")</f>
        <v/>
      </c>
      <c r="Z79">
        <f>IF(OR(ISNUMBER(SEARCH("5-HT6",$C79)),ISNUMBER(SEARCH("Histamine H3",$C79)),ISNUMBER(SEARCH("H3 receptor",$C79)),ISNUMBER(SEARCH("Muscarinic",$C79)),ISNUMBER(SEARCH("Nicotinic",$C79))),2,0)</f>
        <v/>
      </c>
    </row>
    <row r="80">
      <c r="A80" s="5" t="n">
        <v>1</v>
      </c>
      <c r="B80" s="6" t="inlineStr">
        <is>
          <t>Velnacrine</t>
        </is>
      </c>
      <c r="C80" s="7" t="inlineStr">
        <is>
          <t>Cholinesterase inhibitor</t>
        </is>
      </c>
      <c r="D80" s="7" t="inlineStr">
        <is>
          <t>Mild–moderate AD dementia</t>
        </is>
      </c>
      <c r="E80" s="7" t="inlineStr">
        <is>
          <t>Discontinued (hepatotoxicity)</t>
        </is>
      </c>
      <c r="F80" s="7" t="inlineStr">
        <is>
          <t>Safety</t>
        </is>
      </c>
      <c r="G80" s="7" t="inlineStr">
        <is>
          <t>Pleiotropy/toxicity=1; Safety burden=1</t>
        </is>
      </c>
      <c r="H80" s="6" t="inlineStr">
        <is>
          <t>Low</t>
        </is>
      </c>
      <c r="I80" s="7" t="inlineStr"/>
      <c r="J80" s="5" t="inlineStr">
        <is>
          <t>Unknown</t>
        </is>
      </c>
      <c r="K80" s="5" t="inlineStr">
        <is>
          <t>Unknown</t>
        </is>
      </c>
      <c r="L80" s="5" t="inlineStr">
        <is>
          <t>Unknown</t>
        </is>
      </c>
      <c r="M80" s="8" t="n"/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1</v>
      </c>
      <c r="T80" s="5" t="n">
        <v>0</v>
      </c>
      <c r="U80" s="5" t="n">
        <v>0</v>
      </c>
      <c r="V80" s="6">
        <f>SUM(N80:U80)+Z80</f>
        <v/>
      </c>
      <c r="W80" s="6">
        <f>IF(V80&lt;=Params!$B$2,"Low",IF(V80&lt;=Params!$B$3,"Medium","High"))</f>
        <v/>
      </c>
      <c r="X80" s="6">
        <f>IF(W80="High",1,0)</f>
        <v/>
      </c>
      <c r="Y80">
        <f>IF(OR(ISNUMBER(SEARCH("Cholinesterase",$C80)),ISNUMBER(SEARCH("NMDA",$C80)),ISNUMBER(SEARCH("5-HT6",$C80)),ISNUMBER(SEARCH("H3",$C80)),ISNUMBER(SEARCH("Muscarinic",$C80)),ISNUMBER(SEARCH("Nicotinic",$C80)),ISNUMBER(SEARCH("ampakine",$C80)),ISNUMBER(SEARCH("antipsychotic",$C80)),ISNUMBER(SEARCH("symptomatic",$C80))),"Symptomatic","DMT")</f>
        <v/>
      </c>
      <c r="Z80">
        <f>IF(OR(ISNUMBER(SEARCH("5-HT6",$C80)),ISNUMBER(SEARCH("Histamine H3",$C80)),ISNUMBER(SEARCH("H3 receptor",$C80)),ISNUMBER(SEARCH("Muscarinic",$C80)),ISNUMBER(SEARCH("Nicotinic",$C80))),2,0)</f>
        <v/>
      </c>
    </row>
    <row r="81">
      <c r="A81" s="5" t="n">
        <v>1</v>
      </c>
      <c r="B81" s="6" t="inlineStr">
        <is>
          <t>Physostigmine</t>
        </is>
      </c>
      <c r="C81" s="7" t="inlineStr">
        <is>
          <t>Cholinesterase inhibitor</t>
        </is>
      </c>
      <c r="D81" s="7" t="inlineStr">
        <is>
          <t>Mild–moderate AD dementia</t>
        </is>
      </c>
      <c r="E81" s="7" t="inlineStr">
        <is>
          <t>Poor tolerability / limited efficacy; not advanced</t>
        </is>
      </c>
      <c r="F81" s="7" t="inlineStr">
        <is>
          <t>Safety + efficacy</t>
        </is>
      </c>
      <c r="G81" s="7" t="inlineStr">
        <is>
          <t>Pleiotropy/toxicity=1; Safety burden=1</t>
        </is>
      </c>
      <c r="H81" s="6" t="inlineStr">
        <is>
          <t>Low</t>
        </is>
      </c>
      <c r="I81" s="7" t="inlineStr"/>
      <c r="J81" s="5" t="inlineStr">
        <is>
          <t>Unknown</t>
        </is>
      </c>
      <c r="K81" s="5" t="inlineStr">
        <is>
          <t>Unknown</t>
        </is>
      </c>
      <c r="L81" s="5" t="inlineStr">
        <is>
          <t>Unknown</t>
        </is>
      </c>
      <c r="M81" s="8" t="n"/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0</v>
      </c>
      <c r="U81" s="5" t="n">
        <v>0</v>
      </c>
      <c r="V81" s="6">
        <f>SUM(N81:U81)+Z81</f>
        <v/>
      </c>
      <c r="W81" s="6">
        <f>IF(V81&lt;=Params!$B$2,"Low",IF(V81&lt;=Params!$B$3,"Medium","High"))</f>
        <v/>
      </c>
      <c r="X81" s="6">
        <f>IF(W81="High",1,0)</f>
        <v/>
      </c>
      <c r="Y81">
        <f>IF(OR(ISNUMBER(SEARCH("Cholinesterase",$C81)),ISNUMBER(SEARCH("NMDA",$C81)),ISNUMBER(SEARCH("5-HT6",$C81)),ISNUMBER(SEARCH("H3",$C81)),ISNUMBER(SEARCH("Muscarinic",$C81)),ISNUMBER(SEARCH("Nicotinic",$C81)),ISNUMBER(SEARCH("ampakine",$C81)),ISNUMBER(SEARCH("antipsychotic",$C81)),ISNUMBER(SEARCH("symptomatic",$C81))),"Symptomatic","DMT")</f>
        <v/>
      </c>
      <c r="Z81">
        <f>IF(OR(ISNUMBER(SEARCH("5-HT6",$C81)),ISNUMBER(SEARCH("Histamine H3",$C81)),ISNUMBER(SEARCH("H3 receptor",$C81)),ISNUMBER(SEARCH("Muscarinic",$C81)),ISNUMBER(SEARCH("Nicotinic",$C81))),2,0)</f>
        <v/>
      </c>
    </row>
    <row r="82">
      <c r="A82" s="5" t="n">
        <v>1</v>
      </c>
      <c r="B82" s="6" t="inlineStr">
        <is>
          <t>Phenserine</t>
        </is>
      </c>
      <c r="C82" s="7" t="inlineStr">
        <is>
          <t>Cholinesterase inhibitor / APP translation inhibitor</t>
        </is>
      </c>
      <c r="D82" s="7" t="inlineStr">
        <is>
          <t>Mild–moderate AD dementia</t>
        </is>
      </c>
      <c r="E82" s="7" t="inlineStr">
        <is>
          <t>Failed Phase 3</t>
        </is>
      </c>
      <c r="F82" s="7" t="inlineStr">
        <is>
          <t>Efficacy</t>
        </is>
      </c>
      <c r="G82" s="7" t="inlineStr">
        <is>
          <t>Pleiotropy/toxicity=1; Safety burden=1</t>
        </is>
      </c>
      <c r="H82" s="6" t="inlineStr">
        <is>
          <t>Low</t>
        </is>
      </c>
      <c r="I82" s="7" t="inlineStr"/>
      <c r="J82" s="5" t="inlineStr">
        <is>
          <t>Unknown</t>
        </is>
      </c>
      <c r="K82" s="5" t="inlineStr">
        <is>
          <t>Unknown</t>
        </is>
      </c>
      <c r="L82" s="5" t="inlineStr">
        <is>
          <t>Unknown</t>
        </is>
      </c>
      <c r="M82" s="8" t="n"/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1</v>
      </c>
      <c r="T82" s="5" t="n">
        <v>0</v>
      </c>
      <c r="U82" s="5" t="n">
        <v>0</v>
      </c>
      <c r="V82" s="6">
        <f>SUM(N82:U82)+Z82</f>
        <v/>
      </c>
      <c r="W82" s="6">
        <f>IF(V82&lt;=Params!$B$2,"Low",IF(V82&lt;=Params!$B$3,"Medium","High"))</f>
        <v/>
      </c>
      <c r="X82" s="6">
        <f>IF(W82="High",1,0)</f>
        <v/>
      </c>
      <c r="Y82">
        <f>IF(OR(ISNUMBER(SEARCH("Cholinesterase",$C82)),ISNUMBER(SEARCH("NMDA",$C82)),ISNUMBER(SEARCH("5-HT6",$C82)),ISNUMBER(SEARCH("H3",$C82)),ISNUMBER(SEARCH("Muscarinic",$C82)),ISNUMBER(SEARCH("Nicotinic",$C82)),ISNUMBER(SEARCH("ampakine",$C82)),ISNUMBER(SEARCH("antipsychotic",$C82)),ISNUMBER(SEARCH("symptomatic",$C82))),"Symptomatic","DMT")</f>
        <v/>
      </c>
      <c r="Z82">
        <f>IF(OR(ISNUMBER(SEARCH("5-HT6",$C82)),ISNUMBER(SEARCH("Histamine H3",$C82)),ISNUMBER(SEARCH("H3 receptor",$C82)),ISNUMBER(SEARCH("Muscarinic",$C82)),ISNUMBER(SEARCH("Nicotinic",$C82))),2,0)</f>
        <v/>
      </c>
    </row>
    <row r="83">
      <c r="A83" s="5" t="n">
        <v>1</v>
      </c>
      <c r="B83" s="6" t="inlineStr">
        <is>
          <t>Xanomeline</t>
        </is>
      </c>
      <c r="C83" s="7" t="inlineStr">
        <is>
          <t>Muscarinic receptor agonist</t>
        </is>
      </c>
      <c r="D83" s="7" t="inlineStr">
        <is>
          <t>AD dementia</t>
        </is>
      </c>
      <c r="E83" s="7" t="inlineStr">
        <is>
          <t>Efficacy limited by side effects; not advanced</t>
        </is>
      </c>
      <c r="F83" s="7" t="inlineStr">
        <is>
          <t>Safety + efficacy</t>
        </is>
      </c>
      <c r="G83" s="7" t="inlineStr">
        <is>
          <t>Pleiotropy/toxicity=1; Human causality weak=1; Target engagement hard=1; Safety burden=1</t>
        </is>
      </c>
      <c r="H83" s="6" t="inlineStr">
        <is>
          <t>Low</t>
        </is>
      </c>
      <c r="I83" s="7" t="inlineStr"/>
      <c r="J83" s="5" t="inlineStr">
        <is>
          <t>Unknown</t>
        </is>
      </c>
      <c r="K83" s="5" t="inlineStr">
        <is>
          <t>Unknown</t>
        </is>
      </c>
      <c r="L83" s="5" t="inlineStr">
        <is>
          <t>Unknown</t>
        </is>
      </c>
      <c r="M83" s="8" t="n"/>
      <c r="N83" s="5" t="n">
        <v>1</v>
      </c>
      <c r="O83" s="5" t="n">
        <v>0</v>
      </c>
      <c r="P83" s="5" t="n">
        <v>0</v>
      </c>
      <c r="Q83" s="5" t="n">
        <v>1</v>
      </c>
      <c r="R83" s="5" t="n">
        <v>1</v>
      </c>
      <c r="S83" s="5" t="n">
        <v>1</v>
      </c>
      <c r="T83" s="5" t="n">
        <v>0</v>
      </c>
      <c r="U83" s="5" t="n">
        <v>0</v>
      </c>
      <c r="V83" s="6">
        <f>SUM(N83:U83)+Z83</f>
        <v/>
      </c>
      <c r="W83" s="6">
        <f>IF(V83&lt;=Params!$B$2,"Low",IF(V83&lt;=Params!$B$3,"Medium","High"))</f>
        <v/>
      </c>
      <c r="X83" s="6">
        <f>IF(W83="High",1,0)</f>
        <v/>
      </c>
      <c r="Y83">
        <f>IF(OR(ISNUMBER(SEARCH("Cholinesterase",$C83)),ISNUMBER(SEARCH("NMDA",$C83)),ISNUMBER(SEARCH("5-HT6",$C83)),ISNUMBER(SEARCH("H3",$C83)),ISNUMBER(SEARCH("Muscarinic",$C83)),ISNUMBER(SEARCH("Nicotinic",$C83)),ISNUMBER(SEARCH("ampakine",$C83)),ISNUMBER(SEARCH("antipsychotic",$C83)),ISNUMBER(SEARCH("symptomatic",$C83))),"Symptomatic","DMT")</f>
        <v/>
      </c>
      <c r="Z83">
        <f>IF(OR(ISNUMBER(SEARCH("5-HT6",$C83)),ISNUMBER(SEARCH("Histamine H3",$C83)),ISNUMBER(SEARCH("H3 receptor",$C83)),ISNUMBER(SEARCH("Muscarinic",$C83)),ISNUMBER(SEARCH("Nicotinic",$C83))),2,0)</f>
        <v/>
      </c>
    </row>
    <row r="84">
      <c r="A84" s="5" t="n">
        <v>1</v>
      </c>
      <c r="B84" s="6" t="inlineStr">
        <is>
          <t>Milameline (CI-979)</t>
        </is>
      </c>
      <c r="C84" s="7" t="inlineStr">
        <is>
          <t>Muscarinic receptor agonist</t>
        </is>
      </c>
      <c r="D84" s="7" t="inlineStr">
        <is>
          <t>AD dementia</t>
        </is>
      </c>
      <c r="E84" s="7" t="inlineStr">
        <is>
          <t>No benefit / poor tolerability; discontinued</t>
        </is>
      </c>
      <c r="F84" s="7" t="inlineStr">
        <is>
          <t>Safety + efficacy</t>
        </is>
      </c>
      <c r="G84" s="7" t="inlineStr">
        <is>
          <t>Pleiotropy/toxicity=1; Human causality weak=1; Target engagement hard=1; Safety burden=1</t>
        </is>
      </c>
      <c r="H84" s="6" t="inlineStr">
        <is>
          <t>Low</t>
        </is>
      </c>
      <c r="I84" s="7" t="inlineStr"/>
      <c r="J84" s="5" t="inlineStr">
        <is>
          <t>Unknown</t>
        </is>
      </c>
      <c r="K84" s="5" t="inlineStr">
        <is>
          <t>Unknown</t>
        </is>
      </c>
      <c r="L84" s="5" t="inlineStr">
        <is>
          <t>Unknown</t>
        </is>
      </c>
      <c r="M84" s="8" t="n"/>
      <c r="N84" s="5" t="n">
        <v>1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1</v>
      </c>
      <c r="T84" s="5" t="n">
        <v>0</v>
      </c>
      <c r="U84" s="5" t="n">
        <v>0</v>
      </c>
      <c r="V84" s="6">
        <f>SUM(N84:U84)+Z84</f>
        <v/>
      </c>
      <c r="W84" s="6">
        <f>IF(V84&lt;=Params!$B$2,"Low",IF(V84&lt;=Params!$B$3,"Medium","High"))</f>
        <v/>
      </c>
      <c r="X84" s="6">
        <f>IF(W84="High",1,0)</f>
        <v/>
      </c>
      <c r="Y84">
        <f>IF(OR(ISNUMBER(SEARCH("Cholinesterase",$C84)),ISNUMBER(SEARCH("NMDA",$C84)),ISNUMBER(SEARCH("5-HT6",$C84)),ISNUMBER(SEARCH("H3",$C84)),ISNUMBER(SEARCH("Muscarinic",$C84)),ISNUMBER(SEARCH("Nicotinic",$C84)),ISNUMBER(SEARCH("ampakine",$C84)),ISNUMBER(SEARCH("antipsychotic",$C84)),ISNUMBER(SEARCH("symptomatic",$C84))),"Symptomatic","DMT")</f>
        <v/>
      </c>
      <c r="Z84">
        <f>IF(OR(ISNUMBER(SEARCH("5-HT6",$C84)),ISNUMBER(SEARCH("Histamine H3",$C84)),ISNUMBER(SEARCH("H3 receptor",$C84)),ISNUMBER(SEARCH("Muscarinic",$C84)),ISNUMBER(SEARCH("Nicotinic",$C84))),2,0)</f>
        <v/>
      </c>
    </row>
    <row r="85">
      <c r="A85" s="5" t="n">
        <v>1</v>
      </c>
      <c r="B85" s="6" t="inlineStr">
        <is>
          <t>Talsaclidine (Lu 25-109)</t>
        </is>
      </c>
      <c r="C85" s="7" t="inlineStr">
        <is>
          <t>Muscarinic receptor agonist</t>
        </is>
      </c>
      <c r="D85" s="7" t="inlineStr">
        <is>
          <t>AD dementia</t>
        </is>
      </c>
      <c r="E85" s="7" t="inlineStr">
        <is>
          <t>No benefit / discontinued</t>
        </is>
      </c>
      <c r="F85" s="7" t="inlineStr">
        <is>
          <t>Efficacy</t>
        </is>
      </c>
      <c r="G85" s="7" t="inlineStr">
        <is>
          <t>Pleiotropy/toxicity=1; Human causality weak=1; Target engagement hard=1; Safety burden=1</t>
        </is>
      </c>
      <c r="H85" s="6" t="inlineStr">
        <is>
          <t>Low</t>
        </is>
      </c>
      <c r="I85" s="7" t="inlineStr"/>
      <c r="J85" s="5" t="inlineStr">
        <is>
          <t>Unknown</t>
        </is>
      </c>
      <c r="K85" s="5" t="inlineStr">
        <is>
          <t>Unknown</t>
        </is>
      </c>
      <c r="L85" s="5" t="inlineStr">
        <is>
          <t>Unknown</t>
        </is>
      </c>
      <c r="M85" s="8" t="n"/>
      <c r="N85" s="5" t="n">
        <v>1</v>
      </c>
      <c r="O85" s="5" t="n">
        <v>0</v>
      </c>
      <c r="P85" s="5" t="n">
        <v>0</v>
      </c>
      <c r="Q85" s="5" t="n">
        <v>1</v>
      </c>
      <c r="R85" s="5" t="n">
        <v>1</v>
      </c>
      <c r="S85" s="5" t="n">
        <v>1</v>
      </c>
      <c r="T85" s="5" t="n">
        <v>0</v>
      </c>
      <c r="U85" s="5" t="n">
        <v>0</v>
      </c>
      <c r="V85" s="6">
        <f>SUM(N85:U85)+Z85</f>
        <v/>
      </c>
      <c r="W85" s="6">
        <f>IF(V85&lt;=Params!$B$2,"Low",IF(V85&lt;=Params!$B$3,"Medium","High"))</f>
        <v/>
      </c>
      <c r="X85" s="6">
        <f>IF(W85="High",1,0)</f>
        <v/>
      </c>
      <c r="Y85">
        <f>IF(OR(ISNUMBER(SEARCH("Cholinesterase",$C85)),ISNUMBER(SEARCH("NMDA",$C85)),ISNUMBER(SEARCH("5-HT6",$C85)),ISNUMBER(SEARCH("H3",$C85)),ISNUMBER(SEARCH("Muscarinic",$C85)),ISNUMBER(SEARCH("Nicotinic",$C85)),ISNUMBER(SEARCH("ampakine",$C85)),ISNUMBER(SEARCH("antipsychotic",$C85)),ISNUMBER(SEARCH("symptomatic",$C85))),"Symptomatic","DMT")</f>
        <v/>
      </c>
      <c r="Z85">
        <f>IF(OR(ISNUMBER(SEARCH("5-HT6",$C85)),ISNUMBER(SEARCH("Histamine H3",$C85)),ISNUMBER(SEARCH("H3 receptor",$C85)),ISNUMBER(SEARCH("Muscarinic",$C85)),ISNUMBER(SEARCH("Nicotinic",$C85))),2,0)</f>
        <v/>
      </c>
    </row>
    <row r="86">
      <c r="A86" s="5" t="n">
        <v>1</v>
      </c>
      <c r="B86" s="6" t="inlineStr">
        <is>
          <t>Arecoline</t>
        </is>
      </c>
      <c r="C86" s="7" t="inlineStr">
        <is>
          <t>Muscarinic receptor agonist</t>
        </is>
      </c>
      <c r="D86" s="7" t="inlineStr">
        <is>
          <t>AD dementia</t>
        </is>
      </c>
      <c r="E86" s="7" t="inlineStr">
        <is>
          <t>No sustained benefit; not developed</t>
        </is>
      </c>
      <c r="F86" s="7" t="inlineStr">
        <is>
          <t>Efficacy</t>
        </is>
      </c>
      <c r="G86" s="7" t="inlineStr">
        <is>
          <t>Pleiotropy/toxicity=1; Human causality weak=1; Target engagement hard=1; Safety burden=1</t>
        </is>
      </c>
      <c r="H86" s="6" t="inlineStr">
        <is>
          <t>Low</t>
        </is>
      </c>
      <c r="I86" s="7" t="inlineStr"/>
      <c r="J86" s="5" t="inlineStr">
        <is>
          <t>Unknown</t>
        </is>
      </c>
      <c r="K86" s="5" t="inlineStr">
        <is>
          <t>Unknown</t>
        </is>
      </c>
      <c r="L86" s="5" t="inlineStr">
        <is>
          <t>Unknown</t>
        </is>
      </c>
      <c r="M86" s="8" t="n"/>
      <c r="N86" s="5" t="n">
        <v>1</v>
      </c>
      <c r="O86" s="5" t="n">
        <v>0</v>
      </c>
      <c r="P86" s="5" t="n">
        <v>0</v>
      </c>
      <c r="Q86" s="5" t="n">
        <v>1</v>
      </c>
      <c r="R86" s="5" t="n">
        <v>1</v>
      </c>
      <c r="S86" s="5" t="n">
        <v>1</v>
      </c>
      <c r="T86" s="5" t="n">
        <v>0</v>
      </c>
      <c r="U86" s="5" t="n">
        <v>0</v>
      </c>
      <c r="V86" s="6">
        <f>SUM(N86:U86)+Z86</f>
        <v/>
      </c>
      <c r="W86" s="6">
        <f>IF(V86&lt;=Params!$B$2,"Low",IF(V86&lt;=Params!$B$3,"Medium","High"))</f>
        <v/>
      </c>
      <c r="X86" s="6">
        <f>IF(W86="High",1,0)</f>
        <v/>
      </c>
      <c r="Y86">
        <f>IF(OR(ISNUMBER(SEARCH("Cholinesterase",$C86)),ISNUMBER(SEARCH("NMDA",$C86)),ISNUMBER(SEARCH("5-HT6",$C86)),ISNUMBER(SEARCH("H3",$C86)),ISNUMBER(SEARCH("Muscarinic",$C86)),ISNUMBER(SEARCH("Nicotinic",$C86)),ISNUMBER(SEARCH("ampakine",$C86)),ISNUMBER(SEARCH("antipsychotic",$C86)),ISNUMBER(SEARCH("symptomatic",$C86))),"Symptomatic","DMT")</f>
        <v/>
      </c>
      <c r="Z86">
        <f>IF(OR(ISNUMBER(SEARCH("5-HT6",$C86)),ISNUMBER(SEARCH("Histamine H3",$C86)),ISNUMBER(SEARCH("H3 receptor",$C86)),ISNUMBER(SEARCH("Muscarinic",$C86)),ISNUMBER(SEARCH("Nicotinic",$C86))),2,0)</f>
        <v/>
      </c>
    </row>
    <row r="87">
      <c r="A87" s="5" t="n">
        <v>1</v>
      </c>
      <c r="B87" s="6" t="inlineStr">
        <is>
          <t>Cevimeline (AF102B)</t>
        </is>
      </c>
      <c r="C87" s="7" t="inlineStr">
        <is>
          <t>Muscarinic receptor agonist</t>
        </is>
      </c>
      <c r="D87" s="7" t="inlineStr">
        <is>
          <t>AD dementia</t>
        </is>
      </c>
      <c r="E87" s="7" t="inlineStr">
        <is>
          <t>Did not demonstrate clear benefit; not advanced</t>
        </is>
      </c>
      <c r="F87" s="7" t="inlineStr">
        <is>
          <t>Efficacy</t>
        </is>
      </c>
      <c r="G87" s="7" t="inlineStr">
        <is>
          <t>Pleiotropy/toxicity=1; Human causality weak=1; Target engagement hard=1; Safety burden=1</t>
        </is>
      </c>
      <c r="H87" s="6" t="inlineStr">
        <is>
          <t>Low</t>
        </is>
      </c>
      <c r="I87" s="7" t="inlineStr"/>
      <c r="J87" s="5" t="inlineStr">
        <is>
          <t>Unknown</t>
        </is>
      </c>
      <c r="K87" s="5" t="inlineStr">
        <is>
          <t>Unknown</t>
        </is>
      </c>
      <c r="L87" s="5" t="inlineStr">
        <is>
          <t>Unknown</t>
        </is>
      </c>
      <c r="M87" s="8" t="n"/>
      <c r="N87" s="5" t="n">
        <v>1</v>
      </c>
      <c r="O87" s="5" t="n">
        <v>0</v>
      </c>
      <c r="P87" s="5" t="n">
        <v>0</v>
      </c>
      <c r="Q87" s="5" t="n">
        <v>1</v>
      </c>
      <c r="R87" s="5" t="n">
        <v>1</v>
      </c>
      <c r="S87" s="5" t="n">
        <v>1</v>
      </c>
      <c r="T87" s="5" t="n">
        <v>0</v>
      </c>
      <c r="U87" s="5" t="n">
        <v>0</v>
      </c>
      <c r="V87" s="6">
        <f>SUM(N87:U87)+Z87</f>
        <v/>
      </c>
      <c r="W87" s="6">
        <f>IF(V87&lt;=Params!$B$2,"Low",IF(V87&lt;=Params!$B$3,"Medium","High"))</f>
        <v/>
      </c>
      <c r="X87" s="6">
        <f>IF(W87="High",1,0)</f>
        <v/>
      </c>
      <c r="Y87">
        <f>IF(OR(ISNUMBER(SEARCH("Cholinesterase",$C87)),ISNUMBER(SEARCH("NMDA",$C87)),ISNUMBER(SEARCH("5-HT6",$C87)),ISNUMBER(SEARCH("H3",$C87)),ISNUMBER(SEARCH("Muscarinic",$C87)),ISNUMBER(SEARCH("Nicotinic",$C87)),ISNUMBER(SEARCH("ampakine",$C87)),ISNUMBER(SEARCH("antipsychotic",$C87)),ISNUMBER(SEARCH("symptomatic",$C87))),"Symptomatic","DMT")</f>
        <v/>
      </c>
      <c r="Z87">
        <f>IF(OR(ISNUMBER(SEARCH("5-HT6",$C87)),ISNUMBER(SEARCH("Histamine H3",$C87)),ISNUMBER(SEARCH("H3 receptor",$C87)),ISNUMBER(SEARCH("Muscarinic",$C87)),ISNUMBER(SEARCH("Nicotinic",$C87))),2,0)</f>
        <v/>
      </c>
    </row>
    <row r="88">
      <c r="A88" s="5" t="n">
        <v>1</v>
      </c>
      <c r="B88" s="6" t="inlineStr">
        <is>
          <t>Propentofylline</t>
        </is>
      </c>
      <c r="C88" s="7" t="inlineStr">
        <is>
          <t>Glial modulator / PDE inhibitor</t>
        </is>
      </c>
      <c r="D88" s="7" t="inlineStr">
        <is>
          <t>AD dementia</t>
        </is>
      </c>
      <c r="E88" s="7" t="inlineStr">
        <is>
          <t>Failed/abandoned in late-stage development</t>
        </is>
      </c>
      <c r="F88" s="7" t="inlineStr">
        <is>
          <t>Efficacy</t>
        </is>
      </c>
      <c r="G88" s="7" t="inlineStr">
        <is>
          <t>Pleiotropy/toxicity=1; Human causality weak=1; Target engagement hard=1; Safety burden=1</t>
        </is>
      </c>
      <c r="H88" s="6" t="inlineStr">
        <is>
          <t>Low</t>
        </is>
      </c>
      <c r="I88" s="7" t="inlineStr"/>
      <c r="J88" s="5" t="inlineStr">
        <is>
          <t>Unknown</t>
        </is>
      </c>
      <c r="K88" s="5" t="inlineStr">
        <is>
          <t>Unknown</t>
        </is>
      </c>
      <c r="L88" s="5" t="inlineStr">
        <is>
          <t>Unknown</t>
        </is>
      </c>
      <c r="M88" s="8" t="n"/>
      <c r="N88" s="5" t="n">
        <v>1</v>
      </c>
      <c r="O88" s="5" t="n">
        <v>0</v>
      </c>
      <c r="P88" s="5" t="n">
        <v>0</v>
      </c>
      <c r="Q88" s="5" t="n">
        <v>1</v>
      </c>
      <c r="R88" s="5" t="n">
        <v>1</v>
      </c>
      <c r="S88" s="5" t="n">
        <v>1</v>
      </c>
      <c r="T88" s="5" t="n">
        <v>0</v>
      </c>
      <c r="U88" s="5" t="n">
        <v>0</v>
      </c>
      <c r="V88" s="6">
        <f>SUM(N88:U88)+Z88</f>
        <v/>
      </c>
      <c r="W88" s="6">
        <f>IF(V88&lt;=Params!$B$2,"Low",IF(V88&lt;=Params!$B$3,"Medium","High"))</f>
        <v/>
      </c>
      <c r="X88" s="6">
        <f>IF(W88="High",1,0)</f>
        <v/>
      </c>
      <c r="Y88">
        <f>IF(OR(ISNUMBER(SEARCH("Cholinesterase",$C88)),ISNUMBER(SEARCH("NMDA",$C88)),ISNUMBER(SEARCH("5-HT6",$C88)),ISNUMBER(SEARCH("H3",$C88)),ISNUMBER(SEARCH("Muscarinic",$C88)),ISNUMBER(SEARCH("Nicotinic",$C88)),ISNUMBER(SEARCH("ampakine",$C88)),ISNUMBER(SEARCH("antipsychotic",$C88)),ISNUMBER(SEARCH("symptomatic",$C88))),"Symptomatic","DMT")</f>
        <v/>
      </c>
      <c r="Z88">
        <f>IF(OR(ISNUMBER(SEARCH("5-HT6",$C88)),ISNUMBER(SEARCH("Histamine H3",$C88)),ISNUMBER(SEARCH("H3 receptor",$C88)),ISNUMBER(SEARCH("Muscarinic",$C88)),ISNUMBER(SEARCH("Nicotinic",$C88))),2,0)</f>
        <v/>
      </c>
    </row>
    <row r="89">
      <c r="A89" s="5" t="n">
        <v>1</v>
      </c>
      <c r="B89" s="6" t="inlineStr">
        <is>
          <t>Nicergoline</t>
        </is>
      </c>
      <c r="C89" s="7" t="inlineStr">
        <is>
          <t>Ergoline derivative (vascular/neurometabolic)</t>
        </is>
      </c>
      <c r="D89" s="7" t="inlineStr">
        <is>
          <t>AD dementia</t>
        </is>
      </c>
      <c r="E89" s="7" t="inlineStr">
        <is>
          <t>Insufficient efficacy in controlled trials; not approved for AD</t>
        </is>
      </c>
      <c r="F89" s="7" t="inlineStr">
        <is>
          <t>Efficacy</t>
        </is>
      </c>
      <c r="G89" s="7" t="inlineStr">
        <is>
          <t>Pleiotropy/toxicity=2; Stage mismatch=2; Human causality weak=1; Target engagement hard=2; Safety burden=1; Sex modifier unmodeled=1; Ancestry modifier unmodeled=1</t>
        </is>
      </c>
      <c r="H89" s="6" t="inlineStr">
        <is>
          <t>High</t>
        </is>
      </c>
      <c r="I89" s="7" t="inlineStr"/>
      <c r="J89" s="5" t="inlineStr">
        <is>
          <t>Unknown</t>
        </is>
      </c>
      <c r="K89" s="5" t="inlineStr">
        <is>
          <t>Unknown</t>
        </is>
      </c>
      <c r="L89" s="5" t="inlineStr">
        <is>
          <t>Unknown</t>
        </is>
      </c>
      <c r="M89" s="8" t="n"/>
      <c r="N89" s="5" t="n">
        <v>2</v>
      </c>
      <c r="O89" s="5" t="n">
        <v>0</v>
      </c>
      <c r="P89" s="5" t="n">
        <v>2</v>
      </c>
      <c r="Q89" s="5" t="n">
        <v>1</v>
      </c>
      <c r="R89" s="5" t="n">
        <v>2</v>
      </c>
      <c r="S89" s="5" t="n">
        <v>1</v>
      </c>
      <c r="T89" s="5" t="n">
        <v>1</v>
      </c>
      <c r="U89" s="5" t="n">
        <v>1</v>
      </c>
      <c r="V89" s="6">
        <f>SUM(N89:U89)+Z89</f>
        <v/>
      </c>
      <c r="W89" s="6">
        <f>IF(V89&lt;=Params!$B$2,"Low",IF(V89&lt;=Params!$B$3,"Medium","High"))</f>
        <v/>
      </c>
      <c r="X89" s="6">
        <f>IF(W89="High",1,0)</f>
        <v/>
      </c>
      <c r="Y89">
        <f>IF(OR(ISNUMBER(SEARCH("Cholinesterase",$C89)),ISNUMBER(SEARCH("NMDA",$C89)),ISNUMBER(SEARCH("5-HT6",$C89)),ISNUMBER(SEARCH("H3",$C89)),ISNUMBER(SEARCH("Muscarinic",$C89)),ISNUMBER(SEARCH("Nicotinic",$C89)),ISNUMBER(SEARCH("ampakine",$C89)),ISNUMBER(SEARCH("antipsychotic",$C89)),ISNUMBER(SEARCH("symptomatic",$C89))),"Symptomatic","DMT")</f>
        <v/>
      </c>
      <c r="Z89">
        <f>IF(OR(ISNUMBER(SEARCH("5-HT6",$C89)),ISNUMBER(SEARCH("Histamine H3",$C89)),ISNUMBER(SEARCH("H3 receptor",$C89)),ISNUMBER(SEARCH("Muscarinic",$C89)),ISNUMBER(SEARCH("Nicotinic",$C89))),2,0)</f>
        <v/>
      </c>
    </row>
    <row r="90">
      <c r="A90" s="5" t="n">
        <v>1</v>
      </c>
      <c r="B90" s="6" t="inlineStr">
        <is>
          <t>Hydergine (ergoloid mesylates)</t>
        </is>
      </c>
      <c r="C90" s="7" t="inlineStr">
        <is>
          <t>Ergot alkaloid mixture (vascular)</t>
        </is>
      </c>
      <c r="D90" s="7" t="inlineStr">
        <is>
          <t>AD dementia</t>
        </is>
      </c>
      <c r="E90" s="7" t="inlineStr">
        <is>
          <t>No convincing benefit; not approved for AD</t>
        </is>
      </c>
      <c r="F90" s="7" t="inlineStr">
        <is>
          <t>Efficacy</t>
        </is>
      </c>
      <c r="G90" s="7" t="inlineStr">
        <is>
          <t>Pleiotropy/toxicity=1; Stage mismatch=2; Human causality weak=2; Target engagement hard=2; Safety burden=1</t>
        </is>
      </c>
      <c r="H90" s="6" t="inlineStr">
        <is>
          <t>Medium</t>
        </is>
      </c>
      <c r="I90" s="7" t="inlineStr"/>
      <c r="J90" s="5" t="inlineStr">
        <is>
          <t>Unknown</t>
        </is>
      </c>
      <c r="K90" s="5" t="inlineStr">
        <is>
          <t>Unknown</t>
        </is>
      </c>
      <c r="L90" s="5" t="inlineStr">
        <is>
          <t>Unknown</t>
        </is>
      </c>
      <c r="M90" s="8" t="n"/>
      <c r="N90" s="5" t="n">
        <v>1</v>
      </c>
      <c r="O90" s="5" t="n">
        <v>0</v>
      </c>
      <c r="P90" s="5" t="n">
        <v>2</v>
      </c>
      <c r="Q90" s="5" t="n">
        <v>2</v>
      </c>
      <c r="R90" s="5" t="n">
        <v>2</v>
      </c>
      <c r="S90" s="5" t="n">
        <v>1</v>
      </c>
      <c r="T90" s="5" t="n">
        <v>0</v>
      </c>
      <c r="U90" s="5" t="n">
        <v>0</v>
      </c>
      <c r="V90" s="6">
        <f>SUM(N90:U90)+Z90</f>
        <v/>
      </c>
      <c r="W90" s="6">
        <f>IF(V90&lt;=Params!$B$2,"Low",IF(V90&lt;=Params!$B$3,"Medium","High"))</f>
        <v/>
      </c>
      <c r="X90" s="6">
        <f>IF(W90="High",1,0)</f>
        <v/>
      </c>
      <c r="Y90">
        <f>IF(OR(ISNUMBER(SEARCH("Cholinesterase",$C90)),ISNUMBER(SEARCH("NMDA",$C90)),ISNUMBER(SEARCH("5-HT6",$C90)),ISNUMBER(SEARCH("H3",$C90)),ISNUMBER(SEARCH("Muscarinic",$C90)),ISNUMBER(SEARCH("Nicotinic",$C90)),ISNUMBER(SEARCH("ampakine",$C90)),ISNUMBER(SEARCH("antipsychotic",$C90)),ISNUMBER(SEARCH("symptomatic",$C90))),"Symptomatic","DMT")</f>
        <v/>
      </c>
      <c r="Z90">
        <f>IF(OR(ISNUMBER(SEARCH("5-HT6",$C90)),ISNUMBER(SEARCH("Histamine H3",$C90)),ISNUMBER(SEARCH("H3 receptor",$C90)),ISNUMBER(SEARCH("Muscarinic",$C90)),ISNUMBER(SEARCH("Nicotinic",$C90))),2,0)</f>
        <v/>
      </c>
    </row>
    <row r="91">
      <c r="A91" s="5" t="n">
        <v>1</v>
      </c>
      <c r="B91" s="6" t="inlineStr">
        <is>
          <t>Selegiline (deprenyl)</t>
        </is>
      </c>
      <c r="C91" s="7" t="inlineStr">
        <is>
          <t>MAO-B inhibitor</t>
        </is>
      </c>
      <c r="D91" s="7" t="inlineStr">
        <is>
          <t>AD dementia</t>
        </is>
      </c>
      <c r="E91" s="7" t="inlineStr">
        <is>
          <t>No durable cognitive benefit; not adopted</t>
        </is>
      </c>
      <c r="F91" s="7" t="inlineStr">
        <is>
          <t>Efficacy</t>
        </is>
      </c>
      <c r="G91" s="7" t="inlineStr">
        <is>
          <t>Pleiotropy/toxicity=1; Human causality weak=1; Target engagement hard=1; Safety burden=1</t>
        </is>
      </c>
      <c r="H91" s="6" t="inlineStr">
        <is>
          <t>Low</t>
        </is>
      </c>
      <c r="I91" s="7" t="inlineStr"/>
      <c r="J91" s="5" t="inlineStr">
        <is>
          <t>Unknown</t>
        </is>
      </c>
      <c r="K91" s="5" t="inlineStr">
        <is>
          <t>Unknown</t>
        </is>
      </c>
      <c r="L91" s="5" t="inlineStr">
        <is>
          <t>Unknown</t>
        </is>
      </c>
      <c r="M91" s="8" t="n"/>
      <c r="N91" s="5" t="n">
        <v>1</v>
      </c>
      <c r="O91" s="5" t="n">
        <v>0</v>
      </c>
      <c r="P91" s="5" t="n">
        <v>0</v>
      </c>
      <c r="Q91" s="5" t="n">
        <v>1</v>
      </c>
      <c r="R91" s="5" t="n">
        <v>1</v>
      </c>
      <c r="S91" s="5" t="n">
        <v>1</v>
      </c>
      <c r="T91" s="5" t="n">
        <v>0</v>
      </c>
      <c r="U91" s="5" t="n">
        <v>0</v>
      </c>
      <c r="V91" s="6">
        <f>SUM(N91:U91)+Z91</f>
        <v/>
      </c>
      <c r="W91" s="6">
        <f>IF(V91&lt;=Params!$B$2,"Low",IF(V91&lt;=Params!$B$3,"Medium","High"))</f>
        <v/>
      </c>
      <c r="X91" s="6">
        <f>IF(W91="High",1,0)</f>
        <v/>
      </c>
      <c r="Y91">
        <f>IF(OR(ISNUMBER(SEARCH("Cholinesterase",$C91)),ISNUMBER(SEARCH("NMDA",$C91)),ISNUMBER(SEARCH("5-HT6",$C91)),ISNUMBER(SEARCH("H3",$C91)),ISNUMBER(SEARCH("Muscarinic",$C91)),ISNUMBER(SEARCH("Nicotinic",$C91)),ISNUMBER(SEARCH("ampakine",$C91)),ISNUMBER(SEARCH("antipsychotic",$C91)),ISNUMBER(SEARCH("symptomatic",$C91))),"Symptomatic","DMT")</f>
        <v/>
      </c>
      <c r="Z91">
        <f>IF(OR(ISNUMBER(SEARCH("5-HT6",$C91)),ISNUMBER(SEARCH("Histamine H3",$C91)),ISNUMBER(SEARCH("H3 receptor",$C91)),ISNUMBER(SEARCH("Muscarinic",$C91)),ISNUMBER(SEARCH("Nicotinic",$C91))),2,0)</f>
        <v/>
      </c>
    </row>
    <row r="92">
      <c r="A92" s="5" t="n">
        <v>1</v>
      </c>
      <c r="B92" s="6" t="inlineStr">
        <is>
          <t>Idebenone</t>
        </is>
      </c>
      <c r="C92" s="7" t="inlineStr">
        <is>
          <t>Mitochondrial antioxidant</t>
        </is>
      </c>
      <c r="D92" s="7" t="inlineStr">
        <is>
          <t>AD dementia</t>
        </is>
      </c>
      <c r="E92" s="7" t="inlineStr">
        <is>
          <t>Failed trials / not approved for AD</t>
        </is>
      </c>
      <c r="F92" s="7" t="inlineStr">
        <is>
          <t>Efficacy</t>
        </is>
      </c>
      <c r="G92" s="7" t="inlineStr">
        <is>
          <t>Pleiotropy/toxicity=1; Stage mismatch=2; Human causality weak=2; Target engagement hard=2</t>
        </is>
      </c>
      <c r="H92" s="6" t="inlineStr">
        <is>
          <t>Medium</t>
        </is>
      </c>
      <c r="I92" s="7" t="inlineStr"/>
      <c r="J92" s="5" t="inlineStr">
        <is>
          <t>Unknown</t>
        </is>
      </c>
      <c r="K92" s="5" t="inlineStr">
        <is>
          <t>Unknown</t>
        </is>
      </c>
      <c r="L92" s="5" t="inlineStr">
        <is>
          <t>Unknown</t>
        </is>
      </c>
      <c r="M92" s="8" t="n"/>
      <c r="N92" s="5" t="n">
        <v>1</v>
      </c>
      <c r="O92" s="5" t="n">
        <v>0</v>
      </c>
      <c r="P92" s="5" t="n">
        <v>2</v>
      </c>
      <c r="Q92" s="5" t="n">
        <v>2</v>
      </c>
      <c r="R92" s="5" t="n">
        <v>2</v>
      </c>
      <c r="S92" s="5" t="n">
        <v>0</v>
      </c>
      <c r="T92" s="5" t="n">
        <v>0</v>
      </c>
      <c r="U92" s="5" t="n">
        <v>0</v>
      </c>
      <c r="V92" s="6">
        <f>SUM(N92:U92)+Z92</f>
        <v/>
      </c>
      <c r="W92" s="6">
        <f>IF(V92&lt;=Params!$B$2,"Low",IF(V92&lt;=Params!$B$3,"Medium","High"))</f>
        <v/>
      </c>
      <c r="X92" s="6">
        <f>IF(W92="High",1,0)</f>
        <v/>
      </c>
      <c r="Y92">
        <f>IF(OR(ISNUMBER(SEARCH("Cholinesterase",$C92)),ISNUMBER(SEARCH("NMDA",$C92)),ISNUMBER(SEARCH("5-HT6",$C92)),ISNUMBER(SEARCH("H3",$C92)),ISNUMBER(SEARCH("Muscarinic",$C92)),ISNUMBER(SEARCH("Nicotinic",$C92)),ISNUMBER(SEARCH("ampakine",$C92)),ISNUMBER(SEARCH("antipsychotic",$C92)),ISNUMBER(SEARCH("symptomatic",$C92))),"Symptomatic","DMT")</f>
        <v/>
      </c>
      <c r="Z92">
        <f>IF(OR(ISNUMBER(SEARCH("5-HT6",$C92)),ISNUMBER(SEARCH("Histamine H3",$C92)),ISNUMBER(SEARCH("H3 receptor",$C92)),ISNUMBER(SEARCH("Muscarinic",$C92)),ISNUMBER(SEARCH("Nicotinic",$C92))),2,0)</f>
        <v/>
      </c>
    </row>
    <row r="93">
      <c r="A93" s="5" t="n">
        <v>1</v>
      </c>
      <c r="B93" s="6" t="inlineStr">
        <is>
          <t>MK-677 (ibutamoren)</t>
        </is>
      </c>
      <c r="C93" s="7" t="inlineStr">
        <is>
          <t>Ghrelin receptor agonist (metabolic)</t>
        </is>
      </c>
      <c r="D93" s="7" t="inlineStr">
        <is>
          <t>AD dementia</t>
        </is>
      </c>
      <c r="E93" s="7" t="inlineStr">
        <is>
          <t>Failed to improve cognition; discontinued</t>
        </is>
      </c>
      <c r="F93" s="7" t="inlineStr">
        <is>
          <t>Efficacy</t>
        </is>
      </c>
      <c r="G93" s="7" t="inlineStr">
        <is>
          <t>Pleiotropy/toxicity=2; Stage mismatch=2; Human causality weak=1; Target engagement hard=2; Safety burden=1; Sex modifier unmodeled=1; Ancestry modifier unmodeled=1</t>
        </is>
      </c>
      <c r="H93" s="6" t="inlineStr">
        <is>
          <t>High</t>
        </is>
      </c>
      <c r="I93" s="7" t="inlineStr"/>
      <c r="J93" s="5" t="inlineStr">
        <is>
          <t>Unknown</t>
        </is>
      </c>
      <c r="K93" s="5" t="inlineStr">
        <is>
          <t>Unknown</t>
        </is>
      </c>
      <c r="L93" s="5" t="inlineStr">
        <is>
          <t>Unknown</t>
        </is>
      </c>
      <c r="M93" s="8" t="n"/>
      <c r="N93" s="5" t="n">
        <v>2</v>
      </c>
      <c r="O93" s="5" t="n">
        <v>0</v>
      </c>
      <c r="P93" s="5" t="n">
        <v>2</v>
      </c>
      <c r="Q93" s="5" t="n">
        <v>1</v>
      </c>
      <c r="R93" s="5" t="n">
        <v>2</v>
      </c>
      <c r="S93" s="5" t="n">
        <v>1</v>
      </c>
      <c r="T93" s="5" t="n">
        <v>1</v>
      </c>
      <c r="U93" s="5" t="n">
        <v>1</v>
      </c>
      <c r="V93" s="6">
        <f>SUM(N93:U93)+Z93</f>
        <v/>
      </c>
      <c r="W93" s="6">
        <f>IF(V93&lt;=Params!$B$2,"Low",IF(V93&lt;=Params!$B$3,"Medium","High"))</f>
        <v/>
      </c>
      <c r="X93" s="6">
        <f>IF(W93="High",1,0)</f>
        <v/>
      </c>
      <c r="Y93">
        <f>IF(OR(ISNUMBER(SEARCH("Cholinesterase",$C93)),ISNUMBER(SEARCH("NMDA",$C93)),ISNUMBER(SEARCH("5-HT6",$C93)),ISNUMBER(SEARCH("H3",$C93)),ISNUMBER(SEARCH("Muscarinic",$C93)),ISNUMBER(SEARCH("Nicotinic",$C93)),ISNUMBER(SEARCH("ampakine",$C93)),ISNUMBER(SEARCH("antipsychotic",$C93)),ISNUMBER(SEARCH("symptomatic",$C93))),"Symptomatic","DMT")</f>
        <v/>
      </c>
      <c r="Z93">
        <f>IF(OR(ISNUMBER(SEARCH("5-HT6",$C93)),ISNUMBER(SEARCH("Histamine H3",$C93)),ISNUMBER(SEARCH("H3 receptor",$C93)),ISNUMBER(SEARCH("Muscarinic",$C93)),ISNUMBER(SEARCH("Nicotinic",$C93))),2,0)</f>
        <v/>
      </c>
    </row>
    <row r="94">
      <c r="A94" s="5" t="n">
        <v>1</v>
      </c>
      <c r="B94" s="6" t="inlineStr">
        <is>
          <t>Acetyl-L-carnitine</t>
        </is>
      </c>
      <c r="C94" s="7" t="inlineStr">
        <is>
          <t>Mitochondrial/metabolic supplement</t>
        </is>
      </c>
      <c r="D94" s="7" t="inlineStr">
        <is>
          <t>AD dementia</t>
        </is>
      </c>
      <c r="E94" s="7" t="inlineStr">
        <is>
          <t>No clear clinical benefit</t>
        </is>
      </c>
      <c r="F94" s="7" t="inlineStr">
        <is>
          <t>Efficacy</t>
        </is>
      </c>
      <c r="G94" s="7" t="inlineStr">
        <is>
          <t>Pleiotropy/toxicity=2; Stage mismatch=2; Human causality weak=1; Target engagement hard=2; Safety burden=1; Sex modifier unmodeled=1; Ancestry modifier unmodeled=1</t>
        </is>
      </c>
      <c r="H94" s="6" t="inlineStr">
        <is>
          <t>High</t>
        </is>
      </c>
      <c r="I94" s="7" t="inlineStr"/>
      <c r="J94" s="5" t="inlineStr">
        <is>
          <t>Unknown</t>
        </is>
      </c>
      <c r="K94" s="5" t="inlineStr">
        <is>
          <t>Unknown</t>
        </is>
      </c>
      <c r="L94" s="5" t="inlineStr">
        <is>
          <t>Unknown</t>
        </is>
      </c>
      <c r="M94" s="8" t="n"/>
      <c r="N94" s="5" t="n">
        <v>2</v>
      </c>
      <c r="O94" s="5" t="n">
        <v>0</v>
      </c>
      <c r="P94" s="5" t="n">
        <v>2</v>
      </c>
      <c r="Q94" s="5" t="n">
        <v>1</v>
      </c>
      <c r="R94" s="5" t="n">
        <v>2</v>
      </c>
      <c r="S94" s="5" t="n">
        <v>1</v>
      </c>
      <c r="T94" s="5" t="n">
        <v>1</v>
      </c>
      <c r="U94" s="5" t="n">
        <v>1</v>
      </c>
      <c r="V94" s="6">
        <f>SUM(N94:U94)+Z94</f>
        <v/>
      </c>
      <c r="W94" s="6">
        <f>IF(V94&lt;=Params!$B$2,"Low",IF(V94&lt;=Params!$B$3,"Medium","High"))</f>
        <v/>
      </c>
      <c r="X94" s="6">
        <f>IF(W94="High",1,0)</f>
        <v/>
      </c>
      <c r="Y94">
        <f>IF(OR(ISNUMBER(SEARCH("Cholinesterase",$C94)),ISNUMBER(SEARCH("NMDA",$C94)),ISNUMBER(SEARCH("5-HT6",$C94)),ISNUMBER(SEARCH("H3",$C94)),ISNUMBER(SEARCH("Muscarinic",$C94)),ISNUMBER(SEARCH("Nicotinic",$C94)),ISNUMBER(SEARCH("ampakine",$C94)),ISNUMBER(SEARCH("antipsychotic",$C94)),ISNUMBER(SEARCH("symptomatic",$C94))),"Symptomatic","DMT")</f>
        <v/>
      </c>
      <c r="Z94">
        <f>IF(OR(ISNUMBER(SEARCH("5-HT6",$C94)),ISNUMBER(SEARCH("Histamine H3",$C94)),ISNUMBER(SEARCH("H3 receptor",$C94)),ISNUMBER(SEARCH("Muscarinic",$C94)),ISNUMBER(SEARCH("Nicotinic",$C94))),2,0)</f>
        <v/>
      </c>
    </row>
    <row r="95">
      <c r="A95" s="5" t="n">
        <v>1</v>
      </c>
      <c r="B95" s="6" t="inlineStr">
        <is>
          <t>Ginkgo biloba extract (EGb761)</t>
        </is>
      </c>
      <c r="C95" s="7" t="inlineStr">
        <is>
          <t>Herbal extract (antioxidant/vascular)</t>
        </is>
      </c>
      <c r="D95" s="7" t="inlineStr">
        <is>
          <t>Prevention / cognitive decline trials</t>
        </is>
      </c>
      <c r="E95" s="7" t="inlineStr">
        <is>
          <t>No benefit in large trials</t>
        </is>
      </c>
      <c r="F95" s="7" t="inlineStr">
        <is>
          <t>Efficacy</t>
        </is>
      </c>
      <c r="G95" s="7" t="inlineStr">
        <is>
          <t>Pleiotropy/toxicity=1; Human causality weak=2; Target engagement hard=2</t>
        </is>
      </c>
      <c r="H95" s="6" t="inlineStr">
        <is>
          <t>Medium</t>
        </is>
      </c>
      <c r="I95" s="7" t="inlineStr"/>
      <c r="J95" s="5" t="inlineStr">
        <is>
          <t>Unknown</t>
        </is>
      </c>
      <c r="K95" s="5" t="inlineStr">
        <is>
          <t>Unknown</t>
        </is>
      </c>
      <c r="L95" s="5" t="inlineStr">
        <is>
          <t>Unknown</t>
        </is>
      </c>
      <c r="M95" s="8" t="n"/>
      <c r="N95" s="5" t="n">
        <v>1</v>
      </c>
      <c r="O95" s="5" t="n">
        <v>0</v>
      </c>
      <c r="P95" s="5" t="n">
        <v>0</v>
      </c>
      <c r="Q95" s="5" t="n">
        <v>2</v>
      </c>
      <c r="R95" s="5" t="n">
        <v>2</v>
      </c>
      <c r="S95" s="5" t="n">
        <v>0</v>
      </c>
      <c r="T95" s="5" t="n">
        <v>0</v>
      </c>
      <c r="U95" s="5" t="n">
        <v>0</v>
      </c>
      <c r="V95" s="6">
        <f>SUM(N95:U95)+Z95</f>
        <v/>
      </c>
      <c r="W95" s="6">
        <f>IF(V95&lt;=Params!$B$2,"Low",IF(V95&lt;=Params!$B$3,"Medium","High"))</f>
        <v/>
      </c>
      <c r="X95" s="6">
        <f>IF(W95="High",1,0)</f>
        <v/>
      </c>
      <c r="Y95">
        <f>IF(OR(ISNUMBER(SEARCH("Cholinesterase",$C95)),ISNUMBER(SEARCH("NMDA",$C95)),ISNUMBER(SEARCH("5-HT6",$C95)),ISNUMBER(SEARCH("H3",$C95)),ISNUMBER(SEARCH("Muscarinic",$C95)),ISNUMBER(SEARCH("Nicotinic",$C95)),ISNUMBER(SEARCH("ampakine",$C95)),ISNUMBER(SEARCH("antipsychotic",$C95)),ISNUMBER(SEARCH("symptomatic",$C95))),"Symptomatic","DMT")</f>
        <v/>
      </c>
      <c r="Z95">
        <f>IF(OR(ISNUMBER(SEARCH("5-HT6",$C95)),ISNUMBER(SEARCH("Histamine H3",$C95)),ISNUMBER(SEARCH("H3 receptor",$C95)),ISNUMBER(SEARCH("Muscarinic",$C95)),ISNUMBER(SEARCH("Nicotinic",$C95))),2,0)</f>
        <v/>
      </c>
    </row>
    <row r="96">
      <c r="A96" s="5" t="n">
        <v>1</v>
      </c>
      <c r="B96" s="6" t="inlineStr">
        <is>
          <t>Vitamin E (α-tocopherol)</t>
        </is>
      </c>
      <c r="C96" s="7" t="inlineStr">
        <is>
          <t>Antioxidant</t>
        </is>
      </c>
      <c r="D96" s="7" t="inlineStr">
        <is>
          <t>AD dementia</t>
        </is>
      </c>
      <c r="E96" s="7" t="inlineStr">
        <is>
          <t>No consistent disease-modifying benefit; not a successful program</t>
        </is>
      </c>
      <c r="F96" s="7" t="inlineStr">
        <is>
          <t>Efficacy</t>
        </is>
      </c>
      <c r="G96" s="7" t="inlineStr">
        <is>
          <t>Pleiotropy/toxicity=1; Stage mismatch=2; Human causality weak=2; Target engagement hard=2</t>
        </is>
      </c>
      <c r="H96" s="6" t="inlineStr">
        <is>
          <t>Medium</t>
        </is>
      </c>
      <c r="I96" s="7" t="inlineStr"/>
      <c r="J96" s="5" t="inlineStr">
        <is>
          <t>Unknown</t>
        </is>
      </c>
      <c r="K96" s="5" t="inlineStr">
        <is>
          <t>Unknown</t>
        </is>
      </c>
      <c r="L96" s="5" t="inlineStr">
        <is>
          <t>Unknown</t>
        </is>
      </c>
      <c r="M96" s="8" t="n"/>
      <c r="N96" s="5" t="n">
        <v>1</v>
      </c>
      <c r="O96" s="5" t="n">
        <v>0</v>
      </c>
      <c r="P96" s="5" t="n">
        <v>2</v>
      </c>
      <c r="Q96" s="5" t="n">
        <v>2</v>
      </c>
      <c r="R96" s="5" t="n">
        <v>2</v>
      </c>
      <c r="S96" s="5" t="n">
        <v>0</v>
      </c>
      <c r="T96" s="5" t="n">
        <v>0</v>
      </c>
      <c r="U96" s="5" t="n">
        <v>0</v>
      </c>
      <c r="V96" s="6">
        <f>SUM(N96:U96)+Z96</f>
        <v/>
      </c>
      <c r="W96" s="6">
        <f>IF(V96&lt;=Params!$B$2,"Low",IF(V96&lt;=Params!$B$3,"Medium","High"))</f>
        <v/>
      </c>
      <c r="X96" s="6">
        <f>IF(W96="High",1,0)</f>
        <v/>
      </c>
      <c r="Y96">
        <f>IF(OR(ISNUMBER(SEARCH("Cholinesterase",$C96)),ISNUMBER(SEARCH("NMDA",$C96)),ISNUMBER(SEARCH("5-HT6",$C96)),ISNUMBER(SEARCH("H3",$C96)),ISNUMBER(SEARCH("Muscarinic",$C96)),ISNUMBER(SEARCH("Nicotinic",$C96)),ISNUMBER(SEARCH("ampakine",$C96)),ISNUMBER(SEARCH("antipsychotic",$C96)),ISNUMBER(SEARCH("symptomatic",$C96))),"Symptomatic","DMT")</f>
        <v/>
      </c>
      <c r="Z96">
        <f>IF(OR(ISNUMBER(SEARCH("5-HT6",$C96)),ISNUMBER(SEARCH("Histamine H3",$C96)),ISNUMBER(SEARCH("H3 receptor",$C96)),ISNUMBER(SEARCH("Muscarinic",$C96)),ISNUMBER(SEARCH("Nicotinic",$C96))),2,0)</f>
        <v/>
      </c>
    </row>
    <row r="97">
      <c r="A97" s="5" t="n">
        <v>1</v>
      </c>
      <c r="B97" s="6" t="inlineStr">
        <is>
          <t>Curcumin</t>
        </is>
      </c>
      <c r="C97" s="7" t="inlineStr">
        <is>
          <t>Anti-amyloid/anti-inflammatory hypothesis</t>
        </is>
      </c>
      <c r="D97" s="7" t="inlineStr">
        <is>
          <t>AD dementia</t>
        </is>
      </c>
      <c r="E97" s="7" t="inlineStr">
        <is>
          <t>No clear clinical benefit</t>
        </is>
      </c>
      <c r="F97" s="7" t="inlineStr">
        <is>
          <t>Efficacy</t>
        </is>
      </c>
      <c r="G97" s="7" t="inlineStr">
        <is>
          <t>Wrong species=1; Stage mismatch=2; Safety burden=2; Ancestry modifier unmodeled=1</t>
        </is>
      </c>
      <c r="H97" s="6" t="inlineStr">
        <is>
          <t>Medium</t>
        </is>
      </c>
      <c r="I97" s="7" t="inlineStr"/>
      <c r="J97" s="5" t="inlineStr">
        <is>
          <t>Unknown</t>
        </is>
      </c>
      <c r="K97" s="5" t="inlineStr">
        <is>
          <t>Unknown</t>
        </is>
      </c>
      <c r="L97" s="5" t="inlineStr">
        <is>
          <t>Unknown</t>
        </is>
      </c>
      <c r="M97" s="8" t="n"/>
      <c r="N97" s="5" t="n">
        <v>0</v>
      </c>
      <c r="O97" s="5" t="n">
        <v>1</v>
      </c>
      <c r="P97" s="5" t="n">
        <v>2</v>
      </c>
      <c r="Q97" s="5" t="n">
        <v>0</v>
      </c>
      <c r="R97" s="5" t="n">
        <v>0</v>
      </c>
      <c r="S97" s="5" t="n">
        <v>2</v>
      </c>
      <c r="T97" s="5" t="n">
        <v>0</v>
      </c>
      <c r="U97" s="5" t="n">
        <v>1</v>
      </c>
      <c r="V97" s="6">
        <f>SUM(N97:U97)+Z97</f>
        <v/>
      </c>
      <c r="W97" s="6">
        <f>IF(V97&lt;=Params!$B$2,"Low",IF(V97&lt;=Params!$B$3,"Medium","High"))</f>
        <v/>
      </c>
      <c r="X97" s="6">
        <f>IF(W97="High",1,0)</f>
        <v/>
      </c>
      <c r="Y97">
        <f>IF(OR(ISNUMBER(SEARCH("Cholinesterase",$C97)),ISNUMBER(SEARCH("NMDA",$C97)),ISNUMBER(SEARCH("5-HT6",$C97)),ISNUMBER(SEARCH("H3",$C97)),ISNUMBER(SEARCH("Muscarinic",$C97)),ISNUMBER(SEARCH("Nicotinic",$C97)),ISNUMBER(SEARCH("ampakine",$C97)),ISNUMBER(SEARCH("antipsychotic",$C97)),ISNUMBER(SEARCH("symptomatic",$C97))),"Symptomatic","DMT")</f>
        <v/>
      </c>
      <c r="Z97">
        <f>IF(OR(ISNUMBER(SEARCH("5-HT6",$C97)),ISNUMBER(SEARCH("Histamine H3",$C97)),ISNUMBER(SEARCH("H3 receptor",$C97)),ISNUMBER(SEARCH("Muscarinic",$C97)),ISNUMBER(SEARCH("Nicotinic",$C97))),2,0)</f>
        <v/>
      </c>
    </row>
    <row r="98">
      <c r="A98" s="5" t="n">
        <v>1</v>
      </c>
      <c r="B98" s="6" t="inlineStr">
        <is>
          <t>DHA (docosahexaenoic acid)</t>
        </is>
      </c>
      <c r="C98" s="7" t="inlineStr">
        <is>
          <t>Omega-3 fatty acid</t>
        </is>
      </c>
      <c r="D98" s="7" t="inlineStr">
        <is>
          <t>Mild–moderate AD dementia</t>
        </is>
      </c>
      <c r="E98" s="7" t="inlineStr">
        <is>
          <t>No benefit in trials</t>
        </is>
      </c>
      <c r="F98" s="7" t="inlineStr">
        <is>
          <t>Efficacy</t>
        </is>
      </c>
      <c r="G98" s="7" t="inlineStr">
        <is>
          <t>Stage mismatch=2; Human causality weak=2; Target engagement hard=2</t>
        </is>
      </c>
      <c r="H98" s="6" t="inlineStr">
        <is>
          <t>Medium</t>
        </is>
      </c>
      <c r="I98" s="7" t="inlineStr"/>
      <c r="J98" s="5" t="inlineStr">
        <is>
          <t>Unknown</t>
        </is>
      </c>
      <c r="K98" s="5" t="inlineStr">
        <is>
          <t>Unknown</t>
        </is>
      </c>
      <c r="L98" s="5" t="inlineStr">
        <is>
          <t>Unknown</t>
        </is>
      </c>
      <c r="M98" s="8" t="n"/>
      <c r="N98" s="5" t="n">
        <v>0</v>
      </c>
      <c r="O98" s="5" t="n">
        <v>0</v>
      </c>
      <c r="P98" s="5" t="n">
        <v>2</v>
      </c>
      <c r="Q98" s="5" t="n">
        <v>2</v>
      </c>
      <c r="R98" s="5" t="n">
        <v>2</v>
      </c>
      <c r="S98" s="5" t="n">
        <v>0</v>
      </c>
      <c r="T98" s="5" t="n">
        <v>0</v>
      </c>
      <c r="U98" s="5" t="n">
        <v>0</v>
      </c>
      <c r="V98" s="6">
        <f>SUM(N98:U98)+Z98</f>
        <v/>
      </c>
      <c r="W98" s="6">
        <f>IF(V98&lt;=Params!$B$2,"Low",IF(V98&lt;=Params!$B$3,"Medium","High"))</f>
        <v/>
      </c>
      <c r="X98" s="6">
        <f>IF(W98="High",1,0)</f>
        <v/>
      </c>
      <c r="Y98">
        <f>IF(OR(ISNUMBER(SEARCH("Cholinesterase",$C98)),ISNUMBER(SEARCH("NMDA",$C98)),ISNUMBER(SEARCH("5-HT6",$C98)),ISNUMBER(SEARCH("H3",$C98)),ISNUMBER(SEARCH("Muscarinic",$C98)),ISNUMBER(SEARCH("Nicotinic",$C98)),ISNUMBER(SEARCH("ampakine",$C98)),ISNUMBER(SEARCH("antipsychotic",$C98)),ISNUMBER(SEARCH("symptomatic",$C98))),"Symptomatic","DMT")</f>
        <v/>
      </c>
      <c r="Z98">
        <f>IF(OR(ISNUMBER(SEARCH("5-HT6",$C98)),ISNUMBER(SEARCH("Histamine H3",$C98)),ISNUMBER(SEARCH("H3 receptor",$C98)),ISNUMBER(SEARCH("Muscarinic",$C98)),ISNUMBER(SEARCH("Nicotinic",$C98))),2,0)</f>
        <v/>
      </c>
    </row>
    <row r="99">
      <c r="A99" s="5" t="n">
        <v>1</v>
      </c>
      <c r="B99" s="6" t="inlineStr">
        <is>
          <t>Folic acid + B6 + B12 (homocysteine-lowering)</t>
        </is>
      </c>
      <c r="C99" s="7" t="inlineStr">
        <is>
          <t>Metabolic/vitamin therapy</t>
        </is>
      </c>
      <c r="D99" s="7" t="inlineStr">
        <is>
          <t>MCI / AD dementia</t>
        </is>
      </c>
      <c r="E99" s="7" t="inlineStr">
        <is>
          <t>No clear cognitive benefit</t>
        </is>
      </c>
      <c r="F99" s="7" t="inlineStr">
        <is>
          <t>Efficacy</t>
        </is>
      </c>
      <c r="G99" s="7" t="inlineStr">
        <is>
          <t>Pleiotropy/toxicity=2; Human causality weak=1; Target engagement hard=2; Safety burden=1; Sex modifier unmodeled=1; Ancestry modifier unmodeled=1</t>
        </is>
      </c>
      <c r="H99" s="6" t="inlineStr">
        <is>
          <t>Medium</t>
        </is>
      </c>
      <c r="I99" s="7" t="inlineStr"/>
      <c r="J99" s="5" t="inlineStr">
        <is>
          <t>Unknown</t>
        </is>
      </c>
      <c r="K99" s="5" t="inlineStr">
        <is>
          <t>Unknown</t>
        </is>
      </c>
      <c r="L99" s="5" t="inlineStr">
        <is>
          <t>Unknown</t>
        </is>
      </c>
      <c r="M99" s="8" t="n"/>
      <c r="N99" s="5" t="n">
        <v>2</v>
      </c>
      <c r="O99" s="5" t="n">
        <v>0</v>
      </c>
      <c r="P99" s="5" t="n">
        <v>0</v>
      </c>
      <c r="Q99" s="5" t="n">
        <v>1</v>
      </c>
      <c r="R99" s="5" t="n">
        <v>2</v>
      </c>
      <c r="S99" s="5" t="n">
        <v>1</v>
      </c>
      <c r="T99" s="5" t="n">
        <v>1</v>
      </c>
      <c r="U99" s="5" t="n">
        <v>1</v>
      </c>
      <c r="V99" s="6">
        <f>SUM(N99:U99)+Z99</f>
        <v/>
      </c>
      <c r="W99" s="6">
        <f>IF(V99&lt;=Params!$B$2,"Low",IF(V99&lt;=Params!$B$3,"Medium","High"))</f>
        <v/>
      </c>
      <c r="X99" s="6">
        <f>IF(W99="High",1,0)</f>
        <v/>
      </c>
      <c r="Y99">
        <f>IF(OR(ISNUMBER(SEARCH("Cholinesterase",$C99)),ISNUMBER(SEARCH("NMDA",$C99)),ISNUMBER(SEARCH("5-HT6",$C99)),ISNUMBER(SEARCH("H3",$C99)),ISNUMBER(SEARCH("Muscarinic",$C99)),ISNUMBER(SEARCH("Nicotinic",$C99)),ISNUMBER(SEARCH("ampakine",$C99)),ISNUMBER(SEARCH("antipsychotic",$C99)),ISNUMBER(SEARCH("symptomatic",$C99))),"Symptomatic","DMT")</f>
        <v/>
      </c>
      <c r="Z99">
        <f>IF(OR(ISNUMBER(SEARCH("5-HT6",$C99)),ISNUMBER(SEARCH("Histamine H3",$C99)),ISNUMBER(SEARCH("H3 receptor",$C99)),ISNUMBER(SEARCH("Muscarinic",$C99)),ISNUMBER(SEARCH("Nicotinic",$C99))),2,0)</f>
        <v/>
      </c>
    </row>
    <row r="100">
      <c r="A100" s="5" t="n">
        <v>1</v>
      </c>
      <c r="B100" s="6" t="inlineStr">
        <is>
          <t>Estrogen/progestin therapy</t>
        </is>
      </c>
      <c r="C100" s="7" t="inlineStr">
        <is>
          <t>Hormone therapy (repurposed)</t>
        </is>
      </c>
      <c r="D100" s="7" t="inlineStr">
        <is>
          <t>Postmenopausal cognitive trials</t>
        </is>
      </c>
      <c r="E100" s="7" t="inlineStr">
        <is>
          <t>No benefit / potential harm; not developed for AD</t>
        </is>
      </c>
      <c r="F100" s="7" t="inlineStr">
        <is>
          <t>Safety + efficacy</t>
        </is>
      </c>
      <c r="G100" s="7" t="inlineStr">
        <is>
          <t>Pleiotropy/toxicity=2; Human causality weak=1; Safety burden=2</t>
        </is>
      </c>
      <c r="H100" s="6" t="inlineStr">
        <is>
          <t>Medium</t>
        </is>
      </c>
      <c r="I100" s="7" t="inlineStr"/>
      <c r="J100" s="5" t="inlineStr">
        <is>
          <t>Yes</t>
        </is>
      </c>
      <c r="K100" s="5" t="inlineStr">
        <is>
          <t>Unknown</t>
        </is>
      </c>
      <c r="L100" s="5" t="inlineStr">
        <is>
          <t>Unknown</t>
        </is>
      </c>
      <c r="M100" s="8" t="n"/>
      <c r="N100" s="5" t="n">
        <v>2</v>
      </c>
      <c r="O100" s="5" t="n">
        <v>0</v>
      </c>
      <c r="P100" s="5" t="n">
        <v>0</v>
      </c>
      <c r="Q100" s="5" t="n">
        <v>1</v>
      </c>
      <c r="R100" s="5" t="n">
        <v>0</v>
      </c>
      <c r="S100" s="5" t="n">
        <v>2</v>
      </c>
      <c r="T100" s="5" t="n">
        <v>0</v>
      </c>
      <c r="U100" s="5" t="n">
        <v>0</v>
      </c>
      <c r="V100" s="6">
        <f>SUM(N100:U100)+Z100</f>
        <v/>
      </c>
      <c r="W100" s="6">
        <f>IF(V100&lt;=Params!$B$2,"Low",IF(V100&lt;=Params!$B$3,"Medium","High"))</f>
        <v/>
      </c>
      <c r="X100" s="6">
        <f>IF(W100="High",1,0)</f>
        <v/>
      </c>
      <c r="Y100">
        <f>IF(OR(ISNUMBER(SEARCH("Cholinesterase",$C100)),ISNUMBER(SEARCH("NMDA",$C100)),ISNUMBER(SEARCH("5-HT6",$C100)),ISNUMBER(SEARCH("H3",$C100)),ISNUMBER(SEARCH("Muscarinic",$C100)),ISNUMBER(SEARCH("Nicotinic",$C100)),ISNUMBER(SEARCH("ampakine",$C100)),ISNUMBER(SEARCH("antipsychotic",$C100)),ISNUMBER(SEARCH("symptomatic",$C100))),"Symptomatic","DMT")</f>
        <v/>
      </c>
      <c r="Z100">
        <f>IF(OR(ISNUMBER(SEARCH("5-HT6",$C100)),ISNUMBER(SEARCH("Histamine H3",$C100)),ISNUMBER(SEARCH("H3 receptor",$C100)),ISNUMBER(SEARCH("Muscarinic",$C100)),ISNUMBER(SEARCH("Nicotinic",$C100))),2,0)</f>
        <v/>
      </c>
    </row>
    <row r="101">
      <c r="A101" s="5" t="n">
        <v>1</v>
      </c>
      <c r="B101" s="6" t="inlineStr">
        <is>
          <t>Testosterone therapy</t>
        </is>
      </c>
      <c r="C101" s="7" t="inlineStr">
        <is>
          <t>Hormone therapy (repurposed)</t>
        </is>
      </c>
      <c r="D101" s="7" t="inlineStr">
        <is>
          <t>Older men with AD/MCI</t>
        </is>
      </c>
      <c r="E101" s="7" t="inlineStr">
        <is>
          <t>No clear cognitive benefit; not advanced</t>
        </is>
      </c>
      <c r="F101" s="7" t="inlineStr">
        <is>
          <t>Efficacy</t>
        </is>
      </c>
      <c r="G101" s="7" t="inlineStr">
        <is>
          <t>Pleiotropy/toxicity=2; Human causality weak=1; Safety burden=2</t>
        </is>
      </c>
      <c r="H101" s="6" t="inlineStr">
        <is>
          <t>Medium</t>
        </is>
      </c>
      <c r="I101" s="7" t="inlineStr"/>
      <c r="J101" s="5" t="inlineStr">
        <is>
          <t>Yes</t>
        </is>
      </c>
      <c r="K101" s="5" t="inlineStr">
        <is>
          <t>Unknown</t>
        </is>
      </c>
      <c r="L101" s="5" t="inlineStr">
        <is>
          <t>Unknown</t>
        </is>
      </c>
      <c r="M101" s="8" t="n"/>
      <c r="N101" s="5" t="n">
        <v>2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2</v>
      </c>
      <c r="T101" s="5" t="n">
        <v>0</v>
      </c>
      <c r="U101" s="5" t="n">
        <v>0</v>
      </c>
      <c r="V101" s="6">
        <f>SUM(N101:U101)+Z101</f>
        <v/>
      </c>
      <c r="W101" s="6">
        <f>IF(V101&lt;=Params!$B$2,"Low",IF(V101&lt;=Params!$B$3,"Medium","High"))</f>
        <v/>
      </c>
      <c r="X101" s="6">
        <f>IF(W101="High",1,0)</f>
        <v/>
      </c>
      <c r="Y101">
        <f>IF(OR(ISNUMBER(SEARCH("Cholinesterase",$C101)),ISNUMBER(SEARCH("NMDA",$C101)),ISNUMBER(SEARCH("5-HT6",$C101)),ISNUMBER(SEARCH("H3",$C101)),ISNUMBER(SEARCH("Muscarinic",$C101)),ISNUMBER(SEARCH("Nicotinic",$C101)),ISNUMBER(SEARCH("ampakine",$C101)),ISNUMBER(SEARCH("antipsychotic",$C101)),ISNUMBER(SEARCH("symptomatic",$C101))),"Symptomatic","DMT")</f>
        <v/>
      </c>
      <c r="Z101">
        <f>IF(OR(ISNUMBER(SEARCH("5-HT6",$C101)),ISNUMBER(SEARCH("Histamine H3",$C101)),ISNUMBER(SEARCH("H3 receptor",$C101)),ISNUMBER(SEARCH("Muscarinic",$C101)),ISNUMBER(SEARCH("Nicotinic",$C101))),2,0)</f>
        <v/>
      </c>
    </row>
    <row r="102">
      <c r="A102" s="5" t="n">
        <v>1</v>
      </c>
      <c r="B102" s="6" t="inlineStr">
        <is>
          <t>Intranasal insulin</t>
        </is>
      </c>
      <c r="C102" s="7" t="inlineStr">
        <is>
          <t>Metabolic / insulin signaling</t>
        </is>
      </c>
      <c r="D102" s="7" t="inlineStr">
        <is>
          <t>MCI / mild AD dementia</t>
        </is>
      </c>
      <c r="E102" s="7" t="inlineStr">
        <is>
          <t>Large trial(s) negative; not advanced</t>
        </is>
      </c>
      <c r="F102" s="7" t="inlineStr">
        <is>
          <t>Efficacy</t>
        </is>
      </c>
      <c r="G102" s="7" t="inlineStr">
        <is>
          <t>Pleiotropy/toxicity=2; Human causality weak=1; Target engagement hard=2; Safety burden=1; Sex modifier unmodeled=1; Ancestry modifier unmodeled=1</t>
        </is>
      </c>
      <c r="H102" s="6" t="inlineStr">
        <is>
          <t>Medium</t>
        </is>
      </c>
      <c r="I102" s="7" t="inlineStr"/>
      <c r="J102" s="5" t="inlineStr">
        <is>
          <t>Unknown</t>
        </is>
      </c>
      <c r="K102" s="5" t="inlineStr">
        <is>
          <t>Unknown</t>
        </is>
      </c>
      <c r="L102" s="5" t="inlineStr">
        <is>
          <t>Unknown</t>
        </is>
      </c>
      <c r="M102" s="8" t="n"/>
      <c r="N102" s="5" t="n">
        <v>2</v>
      </c>
      <c r="O102" s="5" t="n">
        <v>0</v>
      </c>
      <c r="P102" s="5" t="n">
        <v>0</v>
      </c>
      <c r="Q102" s="5" t="n">
        <v>1</v>
      </c>
      <c r="R102" s="5" t="n">
        <v>2</v>
      </c>
      <c r="S102" s="5" t="n">
        <v>1</v>
      </c>
      <c r="T102" s="5" t="n">
        <v>1</v>
      </c>
      <c r="U102" s="5" t="n">
        <v>1</v>
      </c>
      <c r="V102" s="6">
        <f>SUM(N102:U102)+Z102</f>
        <v/>
      </c>
      <c r="W102" s="6">
        <f>IF(V102&lt;=Params!$B$2,"Low",IF(V102&lt;=Params!$B$3,"Medium","High"))</f>
        <v/>
      </c>
      <c r="X102" s="6">
        <f>IF(W102="High",1,0)</f>
        <v/>
      </c>
      <c r="Y102">
        <f>IF(OR(ISNUMBER(SEARCH("Cholinesterase",$C102)),ISNUMBER(SEARCH("NMDA",$C102)),ISNUMBER(SEARCH("5-HT6",$C102)),ISNUMBER(SEARCH("H3",$C102)),ISNUMBER(SEARCH("Muscarinic",$C102)),ISNUMBER(SEARCH("Nicotinic",$C102)),ISNUMBER(SEARCH("ampakine",$C102)),ISNUMBER(SEARCH("antipsychotic",$C102)),ISNUMBER(SEARCH("symptomatic",$C102))),"Symptomatic","DMT")</f>
        <v/>
      </c>
      <c r="Z102">
        <f>IF(OR(ISNUMBER(SEARCH("5-HT6",$C102)),ISNUMBER(SEARCH("Histamine H3",$C102)),ISNUMBER(SEARCH("H3 receptor",$C102)),ISNUMBER(SEARCH("Muscarinic",$C102)),ISNUMBER(SEARCH("Nicotinic",$C102))),2,0)</f>
        <v/>
      </c>
    </row>
    <row r="103">
      <c r="A103" s="5" t="n">
        <v>1</v>
      </c>
      <c r="B103" s="6" t="inlineStr">
        <is>
          <t>Atorvastatin</t>
        </is>
      </c>
      <c r="C103" s="7" t="inlineStr">
        <is>
          <t>Statin (repurposed)</t>
        </is>
      </c>
      <c r="D103" s="7" t="inlineStr">
        <is>
          <t>Mild–moderate AD dementia</t>
        </is>
      </c>
      <c r="E103" s="7" t="inlineStr">
        <is>
          <t>No benefit in trials</t>
        </is>
      </c>
      <c r="F103" s="7" t="inlineStr">
        <is>
          <t>Efficacy</t>
        </is>
      </c>
      <c r="G103" s="7" t="inlineStr">
        <is>
          <t>Pleiotropy/toxicity=1; Stage mismatch=2; Human causality weak=2; Target engagement hard=2; Safety burden=1</t>
        </is>
      </c>
      <c r="H103" s="6" t="inlineStr">
        <is>
          <t>Medium</t>
        </is>
      </c>
      <c r="I103" s="7" t="inlineStr"/>
      <c r="J103" s="5" t="inlineStr">
        <is>
          <t>Unknown</t>
        </is>
      </c>
      <c r="K103" s="5" t="inlineStr">
        <is>
          <t>Unknown</t>
        </is>
      </c>
      <c r="L103" s="5" t="inlineStr">
        <is>
          <t>Unknown</t>
        </is>
      </c>
      <c r="M103" s="8" t="n"/>
      <c r="N103" s="5" t="n">
        <v>1</v>
      </c>
      <c r="O103" s="5" t="n">
        <v>0</v>
      </c>
      <c r="P103" s="5" t="n">
        <v>2</v>
      </c>
      <c r="Q103" s="5" t="n">
        <v>2</v>
      </c>
      <c r="R103" s="5" t="n">
        <v>2</v>
      </c>
      <c r="S103" s="5" t="n">
        <v>1</v>
      </c>
      <c r="T103" s="5" t="n">
        <v>0</v>
      </c>
      <c r="U103" s="5" t="n">
        <v>0</v>
      </c>
      <c r="V103" s="6">
        <f>SUM(N103:U103)+Z103</f>
        <v/>
      </c>
      <c r="W103" s="6">
        <f>IF(V103&lt;=Params!$B$2,"Low",IF(V103&lt;=Params!$B$3,"Medium","High"))</f>
        <v/>
      </c>
      <c r="X103" s="6">
        <f>IF(W103="High",1,0)</f>
        <v/>
      </c>
      <c r="Y103">
        <f>IF(OR(ISNUMBER(SEARCH("Cholinesterase",$C103)),ISNUMBER(SEARCH("NMDA",$C103)),ISNUMBER(SEARCH("5-HT6",$C103)),ISNUMBER(SEARCH("H3",$C103)),ISNUMBER(SEARCH("Muscarinic",$C103)),ISNUMBER(SEARCH("Nicotinic",$C103)),ISNUMBER(SEARCH("ampakine",$C103)),ISNUMBER(SEARCH("antipsychotic",$C103)),ISNUMBER(SEARCH("symptomatic",$C103))),"Symptomatic","DMT")</f>
        <v/>
      </c>
      <c r="Z103">
        <f>IF(OR(ISNUMBER(SEARCH("5-HT6",$C103)),ISNUMBER(SEARCH("Histamine H3",$C103)),ISNUMBER(SEARCH("H3 receptor",$C103)),ISNUMBER(SEARCH("Muscarinic",$C103)),ISNUMBER(SEARCH("Nicotinic",$C103))),2,0)</f>
        <v/>
      </c>
    </row>
    <row r="104">
      <c r="A104" s="5" t="n">
        <v>1</v>
      </c>
      <c r="B104" s="6" t="inlineStr">
        <is>
          <t>Simvastatin</t>
        </is>
      </c>
      <c r="C104" s="7" t="inlineStr">
        <is>
          <t>Statin (repurposed)</t>
        </is>
      </c>
      <c r="D104" s="7" t="inlineStr">
        <is>
          <t>Mild–moderate AD dementia</t>
        </is>
      </c>
      <c r="E104" s="7" t="inlineStr">
        <is>
          <t>No benefit in trials</t>
        </is>
      </c>
      <c r="F104" s="7" t="inlineStr">
        <is>
          <t>Efficacy</t>
        </is>
      </c>
      <c r="G104" s="7" t="inlineStr">
        <is>
          <t>Pleiotropy/toxicity=1; Stage mismatch=2; Human causality weak=2; Target engagement hard=2; Safety burden=1</t>
        </is>
      </c>
      <c r="H104" s="6" t="inlineStr">
        <is>
          <t>Medium</t>
        </is>
      </c>
      <c r="I104" s="7" t="inlineStr"/>
      <c r="J104" s="5" t="inlineStr">
        <is>
          <t>Unknown</t>
        </is>
      </c>
      <c r="K104" s="5" t="inlineStr">
        <is>
          <t>Unknown</t>
        </is>
      </c>
      <c r="L104" s="5" t="inlineStr">
        <is>
          <t>Unknown</t>
        </is>
      </c>
      <c r="M104" s="8" t="n"/>
      <c r="N104" s="5" t="n">
        <v>1</v>
      </c>
      <c r="O104" s="5" t="n">
        <v>0</v>
      </c>
      <c r="P104" s="5" t="n">
        <v>2</v>
      </c>
      <c r="Q104" s="5" t="n">
        <v>2</v>
      </c>
      <c r="R104" s="5" t="n">
        <v>2</v>
      </c>
      <c r="S104" s="5" t="n">
        <v>1</v>
      </c>
      <c r="T104" s="5" t="n">
        <v>0</v>
      </c>
      <c r="U104" s="5" t="n">
        <v>0</v>
      </c>
      <c r="V104" s="6">
        <f>SUM(N104:U104)+Z104</f>
        <v/>
      </c>
      <c r="W104" s="6">
        <f>IF(V104&lt;=Params!$B$2,"Low",IF(V104&lt;=Params!$B$3,"Medium","High"))</f>
        <v/>
      </c>
      <c r="X104" s="6">
        <f>IF(W104="High",1,0)</f>
        <v/>
      </c>
      <c r="Y104">
        <f>IF(OR(ISNUMBER(SEARCH("Cholinesterase",$C104)),ISNUMBER(SEARCH("NMDA",$C104)),ISNUMBER(SEARCH("5-HT6",$C104)),ISNUMBER(SEARCH("H3",$C104)),ISNUMBER(SEARCH("Muscarinic",$C104)),ISNUMBER(SEARCH("Nicotinic",$C104)),ISNUMBER(SEARCH("ampakine",$C104)),ISNUMBER(SEARCH("antipsychotic",$C104)),ISNUMBER(SEARCH("symptomatic",$C104))),"Symptomatic","DMT")</f>
        <v/>
      </c>
      <c r="Z104">
        <f>IF(OR(ISNUMBER(SEARCH("5-HT6",$C104)),ISNUMBER(SEARCH("Histamine H3",$C104)),ISNUMBER(SEARCH("H3 receptor",$C104)),ISNUMBER(SEARCH("Muscarinic",$C104)),ISNUMBER(SEARCH("Nicotinic",$C104))),2,0)</f>
        <v/>
      </c>
    </row>
    <row r="105">
      <c r="A105" s="5" t="n">
        <v>1</v>
      </c>
      <c r="B105" s="6" t="inlineStr">
        <is>
          <t>Nilvadipine</t>
        </is>
      </c>
      <c r="C105" s="7" t="inlineStr">
        <is>
          <t>Calcium channel blocker (repurposed)</t>
        </is>
      </c>
      <c r="D105" s="7" t="inlineStr">
        <is>
          <t>Mild–moderate AD dementia</t>
        </is>
      </c>
      <c r="E105" s="7" t="inlineStr">
        <is>
          <t>Phase 3 negative</t>
        </is>
      </c>
      <c r="F105" s="7" t="inlineStr">
        <is>
          <t>Efficacy</t>
        </is>
      </c>
      <c r="G105" s="7" t="inlineStr">
        <is>
          <t>Pleiotropy/toxicity=1; Stage mismatch=2; Human causality weak=2; Target engagement hard=2; Safety burden=1</t>
        </is>
      </c>
      <c r="H105" s="6" t="inlineStr">
        <is>
          <t>Medium</t>
        </is>
      </c>
      <c r="I105" s="7" t="inlineStr"/>
      <c r="J105" s="5" t="inlineStr">
        <is>
          <t>Unknown</t>
        </is>
      </c>
      <c r="K105" s="5" t="inlineStr">
        <is>
          <t>Unknown</t>
        </is>
      </c>
      <c r="L105" s="5" t="inlineStr">
        <is>
          <t>Unknown</t>
        </is>
      </c>
      <c r="M105" s="8" t="n"/>
      <c r="N105" s="5" t="n">
        <v>1</v>
      </c>
      <c r="O105" s="5" t="n">
        <v>0</v>
      </c>
      <c r="P105" s="5" t="n">
        <v>2</v>
      </c>
      <c r="Q105" s="5" t="n">
        <v>2</v>
      </c>
      <c r="R105" s="5" t="n">
        <v>2</v>
      </c>
      <c r="S105" s="5" t="n">
        <v>1</v>
      </c>
      <c r="T105" s="5" t="n">
        <v>0</v>
      </c>
      <c r="U105" s="5" t="n">
        <v>0</v>
      </c>
      <c r="V105" s="6">
        <f>SUM(N105:U105)+Z105</f>
        <v/>
      </c>
      <c r="W105" s="6">
        <f>IF(V105&lt;=Params!$B$2,"Low",IF(V105&lt;=Params!$B$3,"Medium","High"))</f>
        <v/>
      </c>
      <c r="X105" s="6">
        <f>IF(W105="High",1,0)</f>
        <v/>
      </c>
      <c r="Y105">
        <f>IF(OR(ISNUMBER(SEARCH("Cholinesterase",$C105)),ISNUMBER(SEARCH("NMDA",$C105)),ISNUMBER(SEARCH("5-HT6",$C105)),ISNUMBER(SEARCH("H3",$C105)),ISNUMBER(SEARCH("Muscarinic",$C105)),ISNUMBER(SEARCH("Nicotinic",$C105)),ISNUMBER(SEARCH("ampakine",$C105)),ISNUMBER(SEARCH("antipsychotic",$C105)),ISNUMBER(SEARCH("symptomatic",$C105))),"Symptomatic","DMT")</f>
        <v/>
      </c>
      <c r="Z105">
        <f>IF(OR(ISNUMBER(SEARCH("5-HT6",$C105)),ISNUMBER(SEARCH("Histamine H3",$C105)),ISNUMBER(SEARCH("H3 receptor",$C105)),ISNUMBER(SEARCH("Muscarinic",$C105)),ISNUMBER(SEARCH("Nicotinic",$C105))),2,0)</f>
        <v/>
      </c>
    </row>
    <row r="106">
      <c r="A106" s="5" t="n">
        <v>1</v>
      </c>
      <c r="B106" s="6" t="inlineStr">
        <is>
          <t>Pioglitazone</t>
        </is>
      </c>
      <c r="C106" s="7" t="inlineStr">
        <is>
          <t>PPARγ agonist (repurposed)</t>
        </is>
      </c>
      <c r="D106" s="7" t="inlineStr">
        <is>
          <t>Prevention / early AD</t>
        </is>
      </c>
      <c r="E106" s="7" t="inlineStr">
        <is>
          <t>Phase 3 prevention trial stopped for futility</t>
        </is>
      </c>
      <c r="F106" s="7" t="inlineStr">
        <is>
          <t>Efficacy</t>
        </is>
      </c>
      <c r="G106" s="7" t="inlineStr">
        <is>
          <t>Pleiotropy/toxicity=2; Human causality weak=1; Target engagement hard=2; Safety burden=2; Sex modifier unmodeled=1; Ancestry modifier unmodeled=1</t>
        </is>
      </c>
      <c r="H106" s="6" t="inlineStr">
        <is>
          <t>Medium</t>
        </is>
      </c>
      <c r="I106" s="7" t="inlineStr"/>
      <c r="J106" s="5" t="inlineStr">
        <is>
          <t>Unknown</t>
        </is>
      </c>
      <c r="K106" s="5" t="inlineStr">
        <is>
          <t>Unknown</t>
        </is>
      </c>
      <c r="L106" s="5" t="inlineStr">
        <is>
          <t>Unknown</t>
        </is>
      </c>
      <c r="M106" s="8" t="n"/>
      <c r="N106" s="5" t="n">
        <v>2</v>
      </c>
      <c r="O106" s="5" t="n">
        <v>0</v>
      </c>
      <c r="P106" s="5" t="n">
        <v>0</v>
      </c>
      <c r="Q106" s="5" t="n">
        <v>1</v>
      </c>
      <c r="R106" s="5" t="n">
        <v>2</v>
      </c>
      <c r="S106" s="5" t="n">
        <v>2</v>
      </c>
      <c r="T106" s="5" t="n">
        <v>1</v>
      </c>
      <c r="U106" s="5" t="n">
        <v>1</v>
      </c>
      <c r="V106" s="6">
        <f>SUM(N106:U106)+Z106</f>
        <v/>
      </c>
      <c r="W106" s="6">
        <f>IF(V106&lt;=Params!$B$2,"Low",IF(V106&lt;=Params!$B$3,"Medium","High"))</f>
        <v/>
      </c>
      <c r="X106" s="6">
        <f>IF(W106="High",1,0)</f>
        <v/>
      </c>
      <c r="Y106">
        <f>IF(OR(ISNUMBER(SEARCH("Cholinesterase",$C106)),ISNUMBER(SEARCH("NMDA",$C106)),ISNUMBER(SEARCH("5-HT6",$C106)),ISNUMBER(SEARCH("H3",$C106)),ISNUMBER(SEARCH("Muscarinic",$C106)),ISNUMBER(SEARCH("Nicotinic",$C106)),ISNUMBER(SEARCH("ampakine",$C106)),ISNUMBER(SEARCH("antipsychotic",$C106)),ISNUMBER(SEARCH("symptomatic",$C106))),"Symptomatic","DMT")</f>
        <v/>
      </c>
      <c r="Z106">
        <f>IF(OR(ISNUMBER(SEARCH("5-HT6",$C106)),ISNUMBER(SEARCH("Histamine H3",$C106)),ISNUMBER(SEARCH("H3 receptor",$C106)),ISNUMBER(SEARCH("Muscarinic",$C106)),ISNUMBER(SEARCH("Nicotinic",$C106))),2,0)</f>
        <v/>
      </c>
    </row>
    <row r="107">
      <c r="A107" s="5" t="n">
        <v>1</v>
      </c>
      <c r="B107" s="6" t="inlineStr">
        <is>
          <t>Rosiglitazone</t>
        </is>
      </c>
      <c r="C107" s="7" t="inlineStr">
        <is>
          <t>PPARγ agonist (repurposed)</t>
        </is>
      </c>
      <c r="D107" s="7" t="inlineStr">
        <is>
          <t>Mild–moderate AD dementia</t>
        </is>
      </c>
      <c r="E107" s="7" t="inlineStr">
        <is>
          <t>Phase 3 negative</t>
        </is>
      </c>
      <c r="F107" s="7" t="inlineStr">
        <is>
          <t>Efficacy</t>
        </is>
      </c>
      <c r="G107" s="7" t="inlineStr">
        <is>
          <t>Pleiotropy/toxicity=2; Stage mismatch=2; Human causality weak=1; Target engagement hard=2; Safety burden=2; Sex modifier unmodeled=1; Ancestry modifier unmodeled=1</t>
        </is>
      </c>
      <c r="H107" s="6" t="inlineStr">
        <is>
          <t>High</t>
        </is>
      </c>
      <c r="I107" s="7" t="inlineStr"/>
      <c r="J107" s="5" t="inlineStr">
        <is>
          <t>Unknown</t>
        </is>
      </c>
      <c r="K107" s="5" t="inlineStr">
        <is>
          <t>Unknown</t>
        </is>
      </c>
      <c r="L107" s="5" t="inlineStr">
        <is>
          <t>Unknown</t>
        </is>
      </c>
      <c r="M107" s="8" t="n"/>
      <c r="N107" s="5" t="n">
        <v>2</v>
      </c>
      <c r="O107" s="5" t="n">
        <v>0</v>
      </c>
      <c r="P107" s="5" t="n">
        <v>2</v>
      </c>
      <c r="Q107" s="5" t="n">
        <v>1</v>
      </c>
      <c r="R107" s="5" t="n">
        <v>2</v>
      </c>
      <c r="S107" s="5" t="n">
        <v>2</v>
      </c>
      <c r="T107" s="5" t="n">
        <v>1</v>
      </c>
      <c r="U107" s="5" t="n">
        <v>1</v>
      </c>
      <c r="V107" s="6">
        <f>SUM(N107:U107)+Z107</f>
        <v/>
      </c>
      <c r="W107" s="6">
        <f>IF(V107&lt;=Params!$B$2,"Low",IF(V107&lt;=Params!$B$3,"Medium","High"))</f>
        <v/>
      </c>
      <c r="X107" s="6">
        <f>IF(W107="High",1,0)</f>
        <v/>
      </c>
      <c r="Y107">
        <f>IF(OR(ISNUMBER(SEARCH("Cholinesterase",$C107)),ISNUMBER(SEARCH("NMDA",$C107)),ISNUMBER(SEARCH("5-HT6",$C107)),ISNUMBER(SEARCH("H3",$C107)),ISNUMBER(SEARCH("Muscarinic",$C107)),ISNUMBER(SEARCH("Nicotinic",$C107)),ISNUMBER(SEARCH("ampakine",$C107)),ISNUMBER(SEARCH("antipsychotic",$C107)),ISNUMBER(SEARCH("symptomatic",$C107))),"Symptomatic","DMT")</f>
        <v/>
      </c>
      <c r="Z107">
        <f>IF(OR(ISNUMBER(SEARCH("5-HT6",$C107)),ISNUMBER(SEARCH("Histamine H3",$C107)),ISNUMBER(SEARCH("H3 receptor",$C107)),ISNUMBER(SEARCH("Muscarinic",$C107)),ISNUMBER(SEARCH("Nicotinic",$C107))),2,0)</f>
        <v/>
      </c>
    </row>
    <row r="108">
      <c r="A108" s="5" t="n">
        <v>1</v>
      </c>
      <c r="B108" s="6" t="inlineStr">
        <is>
          <t>Naproxen</t>
        </is>
      </c>
      <c r="C108" s="7" t="inlineStr">
        <is>
          <t>NSAID</t>
        </is>
      </c>
      <c r="D108" s="7" t="inlineStr">
        <is>
          <t>Prevention / AD dementia trials</t>
        </is>
      </c>
      <c r="E108" s="7" t="inlineStr">
        <is>
          <t>No benefit; not developed for AD</t>
        </is>
      </c>
      <c r="F108" s="7" t="inlineStr">
        <is>
          <t>Efficacy</t>
        </is>
      </c>
      <c r="G108" s="7" t="inlineStr">
        <is>
          <t>Pleiotropy/toxicity=1; Human causality weak=2; Target engagement hard=2; Safety burden=1; Sex modifier unmodeled=1; Ancestry modifier unmodeled=1</t>
        </is>
      </c>
      <c r="H108" s="6" t="inlineStr">
        <is>
          <t>Medium</t>
        </is>
      </c>
      <c r="I108" s="7" t="inlineStr"/>
      <c r="J108" s="5" t="inlineStr">
        <is>
          <t>Unknown</t>
        </is>
      </c>
      <c r="K108" s="5" t="inlineStr">
        <is>
          <t>Unknown</t>
        </is>
      </c>
      <c r="L108" s="5" t="inlineStr">
        <is>
          <t>Unknown</t>
        </is>
      </c>
      <c r="M108" s="8" t="n"/>
      <c r="N108" s="5" t="n">
        <v>1</v>
      </c>
      <c r="O108" s="5" t="n">
        <v>0</v>
      </c>
      <c r="P108" s="5" t="n">
        <v>0</v>
      </c>
      <c r="Q108" s="5" t="n">
        <v>2</v>
      </c>
      <c r="R108" s="5" t="n">
        <v>2</v>
      </c>
      <c r="S108" s="5" t="n">
        <v>1</v>
      </c>
      <c r="T108" s="5" t="n">
        <v>1</v>
      </c>
      <c r="U108" s="5" t="n">
        <v>1</v>
      </c>
      <c r="V108" s="6">
        <f>SUM(N108:U108)+Z108</f>
        <v/>
      </c>
      <c r="W108" s="6">
        <f>IF(V108&lt;=Params!$B$2,"Low",IF(V108&lt;=Params!$B$3,"Medium","High"))</f>
        <v/>
      </c>
      <c r="X108" s="6">
        <f>IF(W108="High",1,0)</f>
        <v/>
      </c>
      <c r="Y108">
        <f>IF(OR(ISNUMBER(SEARCH("Cholinesterase",$C108)),ISNUMBER(SEARCH("NMDA",$C108)),ISNUMBER(SEARCH("5-HT6",$C108)),ISNUMBER(SEARCH("H3",$C108)),ISNUMBER(SEARCH("Muscarinic",$C108)),ISNUMBER(SEARCH("Nicotinic",$C108)),ISNUMBER(SEARCH("ampakine",$C108)),ISNUMBER(SEARCH("antipsychotic",$C108)),ISNUMBER(SEARCH("symptomatic",$C108))),"Symptomatic","DMT")</f>
        <v/>
      </c>
      <c r="Z108">
        <f>IF(OR(ISNUMBER(SEARCH("5-HT6",$C108)),ISNUMBER(SEARCH("Histamine H3",$C108)),ISNUMBER(SEARCH("H3 receptor",$C108)),ISNUMBER(SEARCH("Muscarinic",$C108)),ISNUMBER(SEARCH("Nicotinic",$C108))),2,0)</f>
        <v/>
      </c>
    </row>
    <row r="109">
      <c r="A109" s="5" t="n">
        <v>1</v>
      </c>
      <c r="B109" s="6" t="inlineStr">
        <is>
          <t>Celecoxib</t>
        </is>
      </c>
      <c r="C109" s="7" t="inlineStr">
        <is>
          <t>COX-2 inhibitor</t>
        </is>
      </c>
      <c r="D109" s="7" t="inlineStr">
        <is>
          <t>Prevention / AD dementia trials</t>
        </is>
      </c>
      <c r="E109" s="7" t="inlineStr">
        <is>
          <t>No benefit; not developed for AD</t>
        </is>
      </c>
      <c r="F109" s="7" t="inlineStr">
        <is>
          <t>Efficacy</t>
        </is>
      </c>
      <c r="G109" s="7" t="inlineStr">
        <is>
          <t>Pleiotropy/toxicity=1; Human causality weak=2; Target engagement hard=2; Safety burden=1; Sex modifier unmodeled=1; Ancestry modifier unmodeled=1</t>
        </is>
      </c>
      <c r="H109" s="6" t="inlineStr">
        <is>
          <t>Medium</t>
        </is>
      </c>
      <c r="I109" s="7" t="inlineStr"/>
      <c r="J109" s="5" t="inlineStr">
        <is>
          <t>Unknown</t>
        </is>
      </c>
      <c r="K109" s="5" t="inlineStr">
        <is>
          <t>Unknown</t>
        </is>
      </c>
      <c r="L109" s="5" t="inlineStr">
        <is>
          <t>Unknown</t>
        </is>
      </c>
      <c r="M109" s="8" t="n"/>
      <c r="N109" s="5" t="n">
        <v>1</v>
      </c>
      <c r="O109" s="5" t="n">
        <v>0</v>
      </c>
      <c r="P109" s="5" t="n">
        <v>0</v>
      </c>
      <c r="Q109" s="5" t="n">
        <v>2</v>
      </c>
      <c r="R109" s="5" t="n">
        <v>2</v>
      </c>
      <c r="S109" s="5" t="n">
        <v>1</v>
      </c>
      <c r="T109" s="5" t="n">
        <v>1</v>
      </c>
      <c r="U109" s="5" t="n">
        <v>1</v>
      </c>
      <c r="V109" s="6">
        <f>SUM(N109:U109)+Z109</f>
        <v/>
      </c>
      <c r="W109" s="6">
        <f>IF(V109&lt;=Params!$B$2,"Low",IF(V109&lt;=Params!$B$3,"Medium","High"))</f>
        <v/>
      </c>
      <c r="X109" s="6">
        <f>IF(W109="High",1,0)</f>
        <v/>
      </c>
      <c r="Y109">
        <f>IF(OR(ISNUMBER(SEARCH("Cholinesterase",$C109)),ISNUMBER(SEARCH("NMDA",$C109)),ISNUMBER(SEARCH("5-HT6",$C109)),ISNUMBER(SEARCH("H3",$C109)),ISNUMBER(SEARCH("Muscarinic",$C109)),ISNUMBER(SEARCH("Nicotinic",$C109)),ISNUMBER(SEARCH("ampakine",$C109)),ISNUMBER(SEARCH("antipsychotic",$C109)),ISNUMBER(SEARCH("symptomatic",$C109))),"Symptomatic","DMT")</f>
        <v/>
      </c>
      <c r="Z109">
        <f>IF(OR(ISNUMBER(SEARCH("5-HT6",$C109)),ISNUMBER(SEARCH("Histamine H3",$C109)),ISNUMBER(SEARCH("H3 receptor",$C109)),ISNUMBER(SEARCH("Muscarinic",$C109)),ISNUMBER(SEARCH("Nicotinic",$C109))),2,0)</f>
        <v/>
      </c>
    </row>
    <row r="110">
      <c r="A110" s="5" t="n">
        <v>1</v>
      </c>
      <c r="B110" s="6" t="inlineStr">
        <is>
          <t>Rofecoxib</t>
        </is>
      </c>
      <c r="C110" s="7" t="inlineStr">
        <is>
          <t>COX-2 inhibitor</t>
        </is>
      </c>
      <c r="D110" s="7" t="inlineStr">
        <is>
          <t>Prevention / AD dementia trials</t>
        </is>
      </c>
      <c r="E110" s="7" t="inlineStr">
        <is>
          <t>No benefit; not developed for AD</t>
        </is>
      </c>
      <c r="F110" s="7" t="inlineStr">
        <is>
          <t>Efficacy</t>
        </is>
      </c>
      <c r="G110" s="7" t="inlineStr">
        <is>
          <t>Pleiotropy/toxicity=1; Human causality weak=2; Target engagement hard=2; Safety burden=1; Sex modifier unmodeled=1; Ancestry modifier unmodeled=1</t>
        </is>
      </c>
      <c r="H110" s="6" t="inlineStr">
        <is>
          <t>Medium</t>
        </is>
      </c>
      <c r="I110" s="7" t="inlineStr"/>
      <c r="J110" s="5" t="inlineStr">
        <is>
          <t>Unknown</t>
        </is>
      </c>
      <c r="K110" s="5" t="inlineStr">
        <is>
          <t>Unknown</t>
        </is>
      </c>
      <c r="L110" s="5" t="inlineStr">
        <is>
          <t>Unknown</t>
        </is>
      </c>
      <c r="M110" s="8" t="n"/>
      <c r="N110" s="5" t="n">
        <v>1</v>
      </c>
      <c r="O110" s="5" t="n">
        <v>0</v>
      </c>
      <c r="P110" s="5" t="n">
        <v>0</v>
      </c>
      <c r="Q110" s="5" t="n">
        <v>2</v>
      </c>
      <c r="R110" s="5" t="n">
        <v>2</v>
      </c>
      <c r="S110" s="5" t="n">
        <v>1</v>
      </c>
      <c r="T110" s="5" t="n">
        <v>1</v>
      </c>
      <c r="U110" s="5" t="n">
        <v>1</v>
      </c>
      <c r="V110" s="6">
        <f>SUM(N110:U110)+Z110</f>
        <v/>
      </c>
      <c r="W110" s="6">
        <f>IF(V110&lt;=Params!$B$2,"Low",IF(V110&lt;=Params!$B$3,"Medium","High"))</f>
        <v/>
      </c>
      <c r="X110" s="6">
        <f>IF(W110="High",1,0)</f>
        <v/>
      </c>
      <c r="Y110">
        <f>IF(OR(ISNUMBER(SEARCH("Cholinesterase",$C110)),ISNUMBER(SEARCH("NMDA",$C110)),ISNUMBER(SEARCH("5-HT6",$C110)),ISNUMBER(SEARCH("H3",$C110)),ISNUMBER(SEARCH("Muscarinic",$C110)),ISNUMBER(SEARCH("Nicotinic",$C110)),ISNUMBER(SEARCH("ampakine",$C110)),ISNUMBER(SEARCH("antipsychotic",$C110)),ISNUMBER(SEARCH("symptomatic",$C110))),"Symptomatic","DMT")</f>
        <v/>
      </c>
      <c r="Z110">
        <f>IF(OR(ISNUMBER(SEARCH("5-HT6",$C110)),ISNUMBER(SEARCH("Histamine H3",$C110)),ISNUMBER(SEARCH("H3 receptor",$C110)),ISNUMBER(SEARCH("Muscarinic",$C110)),ISNUMBER(SEARCH("Nicotinic",$C110))),2,0)</f>
        <v/>
      </c>
    </row>
    <row r="111">
      <c r="A111" s="5" t="n">
        <v>1</v>
      </c>
      <c r="B111" s="6" t="inlineStr">
        <is>
          <t>Indomethacin</t>
        </is>
      </c>
      <c r="C111" s="7" t="inlineStr">
        <is>
          <t>NSAID</t>
        </is>
      </c>
      <c r="D111" s="7" t="inlineStr">
        <is>
          <t>AD dementia trials</t>
        </is>
      </c>
      <c r="E111" s="7" t="inlineStr">
        <is>
          <t>No clear benefit; not advanced</t>
        </is>
      </c>
      <c r="F111" s="7" t="inlineStr">
        <is>
          <t>Safety + efficacy</t>
        </is>
      </c>
      <c r="G111" s="7" t="inlineStr">
        <is>
          <t>Pleiotropy/toxicity=1; Stage mismatch=2; Human causality weak=2; Target engagement hard=2; Safety burden=1; Sex modifier unmodeled=1; Ancestry modifier unmodeled=1</t>
        </is>
      </c>
      <c r="H111" s="6" t="inlineStr">
        <is>
          <t>High</t>
        </is>
      </c>
      <c r="I111" s="7" t="inlineStr"/>
      <c r="J111" s="5" t="inlineStr">
        <is>
          <t>Unknown</t>
        </is>
      </c>
      <c r="K111" s="5" t="inlineStr">
        <is>
          <t>Unknown</t>
        </is>
      </c>
      <c r="L111" s="5" t="inlineStr">
        <is>
          <t>Unknown</t>
        </is>
      </c>
      <c r="M111" s="8" t="n"/>
      <c r="N111" s="5" t="n">
        <v>1</v>
      </c>
      <c r="O111" s="5" t="n">
        <v>0</v>
      </c>
      <c r="P111" s="5" t="n">
        <v>2</v>
      </c>
      <c r="Q111" s="5" t="n">
        <v>2</v>
      </c>
      <c r="R111" s="5" t="n">
        <v>2</v>
      </c>
      <c r="S111" s="5" t="n">
        <v>1</v>
      </c>
      <c r="T111" s="5" t="n">
        <v>1</v>
      </c>
      <c r="U111" s="5" t="n">
        <v>1</v>
      </c>
      <c r="V111" s="6">
        <f>SUM(N111:U111)+Z111</f>
        <v/>
      </c>
      <c r="W111" s="6">
        <f>IF(V111&lt;=Params!$B$2,"Low",IF(V111&lt;=Params!$B$3,"Medium","High"))</f>
        <v/>
      </c>
      <c r="X111" s="6">
        <f>IF(W111="High",1,0)</f>
        <v/>
      </c>
      <c r="Y111">
        <f>IF(OR(ISNUMBER(SEARCH("Cholinesterase",$C111)),ISNUMBER(SEARCH("NMDA",$C111)),ISNUMBER(SEARCH("5-HT6",$C111)),ISNUMBER(SEARCH("H3",$C111)),ISNUMBER(SEARCH("Muscarinic",$C111)),ISNUMBER(SEARCH("Nicotinic",$C111)),ISNUMBER(SEARCH("ampakine",$C111)),ISNUMBER(SEARCH("antipsychotic",$C111)),ISNUMBER(SEARCH("symptomatic",$C111))),"Symptomatic","DMT")</f>
        <v/>
      </c>
      <c r="Z111">
        <f>IF(OR(ISNUMBER(SEARCH("5-HT6",$C111)),ISNUMBER(SEARCH("Histamine H3",$C111)),ISNUMBER(SEARCH("H3 receptor",$C111)),ISNUMBER(SEARCH("Muscarinic",$C111)),ISNUMBER(SEARCH("Nicotinic",$C111))),2,0)</f>
        <v/>
      </c>
    </row>
    <row r="112">
      <c r="A112" s="5" t="n">
        <v>1</v>
      </c>
      <c r="B112" s="6" t="inlineStr">
        <is>
          <t>Prednisone</t>
        </is>
      </c>
      <c r="C112" s="7" t="inlineStr">
        <is>
          <t>Corticosteroid (anti-inflammatory)</t>
        </is>
      </c>
      <c r="D112" s="7" t="inlineStr">
        <is>
          <t>AD dementia</t>
        </is>
      </c>
      <c r="E112" s="7" t="inlineStr">
        <is>
          <t>No benefit; not developed</t>
        </is>
      </c>
      <c r="F112" s="7" t="inlineStr">
        <is>
          <t>Efficacy</t>
        </is>
      </c>
      <c r="G112" s="7" t="inlineStr">
        <is>
          <t>Pleiotropy/toxicity=1; Stage mismatch=2; Human causality weak=2; Target engagement hard=2; Safety burden=1; Sex modifier unmodeled=1; Ancestry modifier unmodeled=1</t>
        </is>
      </c>
      <c r="H112" s="6" t="inlineStr">
        <is>
          <t>High</t>
        </is>
      </c>
      <c r="I112" s="7" t="inlineStr"/>
      <c r="J112" s="5" t="inlineStr">
        <is>
          <t>Unknown</t>
        </is>
      </c>
      <c r="K112" s="5" t="inlineStr">
        <is>
          <t>Unknown</t>
        </is>
      </c>
      <c r="L112" s="5" t="inlineStr">
        <is>
          <t>Unknown</t>
        </is>
      </c>
      <c r="M112" s="8" t="n"/>
      <c r="N112" s="5" t="n">
        <v>1</v>
      </c>
      <c r="O112" s="5" t="n">
        <v>0</v>
      </c>
      <c r="P112" s="5" t="n">
        <v>2</v>
      </c>
      <c r="Q112" s="5" t="n">
        <v>2</v>
      </c>
      <c r="R112" s="5" t="n">
        <v>2</v>
      </c>
      <c r="S112" s="5" t="n">
        <v>1</v>
      </c>
      <c r="T112" s="5" t="n">
        <v>1</v>
      </c>
      <c r="U112" s="5" t="n">
        <v>1</v>
      </c>
      <c r="V112" s="6">
        <f>SUM(N112:U112)+Z112</f>
        <v/>
      </c>
      <c r="W112" s="6">
        <f>IF(V112&lt;=Params!$B$2,"Low",IF(V112&lt;=Params!$B$3,"Medium","High"))</f>
        <v/>
      </c>
      <c r="X112" s="6">
        <f>IF(W112="High",1,0)</f>
        <v/>
      </c>
      <c r="Y112">
        <f>IF(OR(ISNUMBER(SEARCH("Cholinesterase",$C112)),ISNUMBER(SEARCH("NMDA",$C112)),ISNUMBER(SEARCH("5-HT6",$C112)),ISNUMBER(SEARCH("H3",$C112)),ISNUMBER(SEARCH("Muscarinic",$C112)),ISNUMBER(SEARCH("Nicotinic",$C112)),ISNUMBER(SEARCH("ampakine",$C112)),ISNUMBER(SEARCH("antipsychotic",$C112)),ISNUMBER(SEARCH("symptomatic",$C112))),"Symptomatic","DMT")</f>
        <v/>
      </c>
      <c r="Z112">
        <f>IF(OR(ISNUMBER(SEARCH("5-HT6",$C112)),ISNUMBER(SEARCH("Histamine H3",$C112)),ISNUMBER(SEARCH("H3 receptor",$C112)),ISNUMBER(SEARCH("Muscarinic",$C112)),ISNUMBER(SEARCH("Nicotinic",$C112))),2,0)</f>
        <v/>
      </c>
    </row>
    <row r="113">
      <c r="A113" s="5" t="n">
        <v>1</v>
      </c>
      <c r="B113" s="6" t="inlineStr">
        <is>
          <t>Minocycline</t>
        </is>
      </c>
      <c r="C113" s="7" t="inlineStr">
        <is>
          <t>Antibiotic / anti-inflammatory</t>
        </is>
      </c>
      <c r="D113" s="7" t="inlineStr">
        <is>
          <t>AD dementia</t>
        </is>
      </c>
      <c r="E113" s="7" t="inlineStr">
        <is>
          <t>No clear benefit; not advanced</t>
        </is>
      </c>
      <c r="F113" s="7" t="inlineStr">
        <is>
          <t>Efficacy</t>
        </is>
      </c>
      <c r="G113" s="7" t="inlineStr">
        <is>
          <t>Pleiotropy/toxicity=1; Stage mismatch=2; Human causality weak=2; Target engagement hard=2; Safety burden=1; Sex modifier unmodeled=1; Ancestry modifier unmodeled=1</t>
        </is>
      </c>
      <c r="H113" s="6" t="inlineStr">
        <is>
          <t>High</t>
        </is>
      </c>
      <c r="I113" s="7" t="inlineStr"/>
      <c r="J113" s="5" t="inlineStr">
        <is>
          <t>Unknown</t>
        </is>
      </c>
      <c r="K113" s="5" t="inlineStr">
        <is>
          <t>Unknown</t>
        </is>
      </c>
      <c r="L113" s="5" t="inlineStr">
        <is>
          <t>Unknown</t>
        </is>
      </c>
      <c r="M113" s="8" t="n"/>
      <c r="N113" s="5" t="n">
        <v>1</v>
      </c>
      <c r="O113" s="5" t="n">
        <v>0</v>
      </c>
      <c r="P113" s="5" t="n">
        <v>2</v>
      </c>
      <c r="Q113" s="5" t="n">
        <v>2</v>
      </c>
      <c r="R113" s="5" t="n">
        <v>2</v>
      </c>
      <c r="S113" s="5" t="n">
        <v>1</v>
      </c>
      <c r="T113" s="5" t="n">
        <v>1</v>
      </c>
      <c r="U113" s="5" t="n">
        <v>1</v>
      </c>
      <c r="V113" s="6">
        <f>SUM(N113:U113)+Z113</f>
        <v/>
      </c>
      <c r="W113" s="6">
        <f>IF(V113&lt;=Params!$B$2,"Low",IF(V113&lt;=Params!$B$3,"Medium","High"))</f>
        <v/>
      </c>
      <c r="X113" s="6">
        <f>IF(W113="High",1,0)</f>
        <v/>
      </c>
      <c r="Y113">
        <f>IF(OR(ISNUMBER(SEARCH("Cholinesterase",$C113)),ISNUMBER(SEARCH("NMDA",$C113)),ISNUMBER(SEARCH("5-HT6",$C113)),ISNUMBER(SEARCH("H3",$C113)),ISNUMBER(SEARCH("Muscarinic",$C113)),ISNUMBER(SEARCH("Nicotinic",$C113)),ISNUMBER(SEARCH("ampakine",$C113)),ISNUMBER(SEARCH("antipsychotic",$C113)),ISNUMBER(SEARCH("symptomatic",$C113))),"Symptomatic","DMT")</f>
        <v/>
      </c>
      <c r="Z113">
        <f>IF(OR(ISNUMBER(SEARCH("5-HT6",$C113)),ISNUMBER(SEARCH("Histamine H3",$C113)),ISNUMBER(SEARCH("H3 receptor",$C113)),ISNUMBER(SEARCH("Muscarinic",$C113)),ISNUMBER(SEARCH("Nicotinic",$C113))),2,0)</f>
        <v/>
      </c>
    </row>
    <row r="114">
      <c r="A114" s="5" t="n">
        <v>1</v>
      </c>
      <c r="B114" s="6" t="inlineStr">
        <is>
          <t>Etanercept</t>
        </is>
      </c>
      <c r="C114" s="7" t="inlineStr">
        <is>
          <t>Anti-TNF biologic</t>
        </is>
      </c>
      <c r="D114" s="7" t="inlineStr">
        <is>
          <t>AD dementia</t>
        </is>
      </c>
      <c r="E114" s="7" t="inlineStr">
        <is>
          <t>No reproducible efficacy; not advanced</t>
        </is>
      </c>
      <c r="F114" s="7" t="inlineStr">
        <is>
          <t>Efficacy</t>
        </is>
      </c>
      <c r="G114" s="7" t="inlineStr">
        <is>
          <t>Pleiotropy/toxicity=2; Stage mismatch=2; Human causality weak=2; Target engagement hard=2; Safety burden=2; Sex modifier unmodeled=1; Ancestry modifier unmodeled=1</t>
        </is>
      </c>
      <c r="H114" s="6" t="inlineStr">
        <is>
          <t>High</t>
        </is>
      </c>
      <c r="I114" s="7" t="inlineStr"/>
      <c r="J114" s="5" t="inlineStr">
        <is>
          <t>Unknown</t>
        </is>
      </c>
      <c r="K114" s="5" t="inlineStr">
        <is>
          <t>Unknown</t>
        </is>
      </c>
      <c r="L114" s="5" t="inlineStr">
        <is>
          <t>Unknown</t>
        </is>
      </c>
      <c r="M114" s="8" t="n"/>
      <c r="N114" s="5" t="n">
        <v>2</v>
      </c>
      <c r="O114" s="5" t="n">
        <v>0</v>
      </c>
      <c r="P114" s="5" t="n">
        <v>2</v>
      </c>
      <c r="Q114" s="5" t="n">
        <v>2</v>
      </c>
      <c r="R114" s="5" t="n">
        <v>2</v>
      </c>
      <c r="S114" s="5" t="n">
        <v>2</v>
      </c>
      <c r="T114" s="5" t="n">
        <v>1</v>
      </c>
      <c r="U114" s="5" t="n">
        <v>1</v>
      </c>
      <c r="V114" s="6">
        <f>SUM(N114:U114)+Z114</f>
        <v/>
      </c>
      <c r="W114" s="6">
        <f>IF(V114&lt;=Params!$B$2,"Low",IF(V114&lt;=Params!$B$3,"Medium","High"))</f>
        <v/>
      </c>
      <c r="X114" s="6">
        <f>IF(W114="High",1,0)</f>
        <v/>
      </c>
      <c r="Y114">
        <f>IF(OR(ISNUMBER(SEARCH("Cholinesterase",$C114)),ISNUMBER(SEARCH("NMDA",$C114)),ISNUMBER(SEARCH("5-HT6",$C114)),ISNUMBER(SEARCH("H3",$C114)),ISNUMBER(SEARCH("Muscarinic",$C114)),ISNUMBER(SEARCH("Nicotinic",$C114)),ISNUMBER(SEARCH("ampakine",$C114)),ISNUMBER(SEARCH("antipsychotic",$C114)),ISNUMBER(SEARCH("symptomatic",$C114))),"Symptomatic","DMT")</f>
        <v/>
      </c>
      <c r="Z114">
        <f>IF(OR(ISNUMBER(SEARCH("5-HT6",$C114)),ISNUMBER(SEARCH("Histamine H3",$C114)),ISNUMBER(SEARCH("H3 receptor",$C114)),ISNUMBER(SEARCH("Muscarinic",$C114)),ISNUMBER(SEARCH("Nicotinic",$C114))),2,0)</f>
        <v/>
      </c>
    </row>
    <row r="115">
      <c r="A115" s="5" t="n">
        <v>1</v>
      </c>
      <c r="B115" s="6" t="inlineStr">
        <is>
          <t>Infliximab</t>
        </is>
      </c>
      <c r="C115" s="7" t="inlineStr">
        <is>
          <t>Anti-TNF biologic</t>
        </is>
      </c>
      <c r="D115" s="7" t="inlineStr">
        <is>
          <t>AD dementia</t>
        </is>
      </c>
      <c r="E115" s="7" t="inlineStr">
        <is>
          <t>No clear benefit; not advanced</t>
        </is>
      </c>
      <c r="F115" s="7" t="inlineStr">
        <is>
          <t>Efficacy</t>
        </is>
      </c>
      <c r="G115" s="7" t="inlineStr">
        <is>
          <t>Pleiotropy/toxicity=2; Stage mismatch=2; Human causality weak=2; Target engagement hard=2; Safety burden=2; Sex modifier unmodeled=1; Ancestry modifier unmodeled=1</t>
        </is>
      </c>
      <c r="H115" s="6" t="inlineStr">
        <is>
          <t>High</t>
        </is>
      </c>
      <c r="I115" s="7" t="inlineStr"/>
      <c r="J115" s="5" t="inlineStr">
        <is>
          <t>Unknown</t>
        </is>
      </c>
      <c r="K115" s="5" t="inlineStr">
        <is>
          <t>Unknown</t>
        </is>
      </c>
      <c r="L115" s="5" t="inlineStr">
        <is>
          <t>Unknown</t>
        </is>
      </c>
      <c r="M115" s="8" t="n"/>
      <c r="N115" s="5" t="n">
        <v>2</v>
      </c>
      <c r="O115" s="5" t="n">
        <v>0</v>
      </c>
      <c r="P115" s="5" t="n">
        <v>2</v>
      </c>
      <c r="Q115" s="5" t="n">
        <v>2</v>
      </c>
      <c r="R115" s="5" t="n">
        <v>2</v>
      </c>
      <c r="S115" s="5" t="n">
        <v>2</v>
      </c>
      <c r="T115" s="5" t="n">
        <v>1</v>
      </c>
      <c r="U115" s="5" t="n">
        <v>1</v>
      </c>
      <c r="V115" s="6">
        <f>SUM(N115:U115)+Z115</f>
        <v/>
      </c>
      <c r="W115" s="6">
        <f>IF(V115&lt;=Params!$B$2,"Low",IF(V115&lt;=Params!$B$3,"Medium","High"))</f>
        <v/>
      </c>
      <c r="X115" s="6">
        <f>IF(W115="High",1,0)</f>
        <v/>
      </c>
      <c r="Y115">
        <f>IF(OR(ISNUMBER(SEARCH("Cholinesterase",$C115)),ISNUMBER(SEARCH("NMDA",$C115)),ISNUMBER(SEARCH("5-HT6",$C115)),ISNUMBER(SEARCH("H3",$C115)),ISNUMBER(SEARCH("Muscarinic",$C115)),ISNUMBER(SEARCH("Nicotinic",$C115)),ISNUMBER(SEARCH("ampakine",$C115)),ISNUMBER(SEARCH("antipsychotic",$C115)),ISNUMBER(SEARCH("symptomatic",$C115))),"Symptomatic","DMT")</f>
        <v/>
      </c>
      <c r="Z115">
        <f>IF(OR(ISNUMBER(SEARCH("5-HT6",$C115)),ISNUMBER(SEARCH("Histamine H3",$C115)),ISNUMBER(SEARCH("H3 receptor",$C115)),ISNUMBER(SEARCH("Muscarinic",$C115)),ISNUMBER(SEARCH("Nicotinic",$C115))),2,0)</f>
        <v/>
      </c>
    </row>
    <row r="116">
      <c r="A116" s="5" t="n">
        <v>1</v>
      </c>
      <c r="B116" s="6" t="inlineStr">
        <is>
          <t>IVIG (Gammagard)</t>
        </is>
      </c>
      <c r="C116" s="7" t="inlineStr">
        <is>
          <t>Passive immunotherapy (polyclonal IgG)</t>
        </is>
      </c>
      <c r="D116" s="7" t="inlineStr">
        <is>
          <t>Mild–moderate AD dementia</t>
        </is>
      </c>
      <c r="E116" s="7" t="inlineStr">
        <is>
          <t>Phase 3 negative</t>
        </is>
      </c>
      <c r="F116" s="7" t="inlineStr">
        <is>
          <t>Efficacy</t>
        </is>
      </c>
      <c r="G116" s="7" t="inlineStr">
        <is>
          <t>Pleiotropy/toxicity=1; Wrong species=1; Stage mismatch=2; Target engagement hard=1; Safety burden=2; Ancestry modifier unmodeled=1</t>
        </is>
      </c>
      <c r="H116" s="6" t="inlineStr">
        <is>
          <t>Medium</t>
        </is>
      </c>
      <c r="I116" s="7" t="inlineStr"/>
      <c r="J116" s="5" t="inlineStr">
        <is>
          <t>Unknown</t>
        </is>
      </c>
      <c r="K116" s="5" t="inlineStr">
        <is>
          <t>Unknown</t>
        </is>
      </c>
      <c r="L116" s="5" t="inlineStr">
        <is>
          <t>Unknown</t>
        </is>
      </c>
      <c r="M116" s="8" t="n"/>
      <c r="N116" s="5" t="n">
        <v>1</v>
      </c>
      <c r="O116" s="5" t="n">
        <v>1</v>
      </c>
      <c r="P116" s="5" t="n">
        <v>2</v>
      </c>
      <c r="Q116" s="5" t="n">
        <v>0</v>
      </c>
      <c r="R116" s="5" t="n">
        <v>1</v>
      </c>
      <c r="S116" s="5" t="n">
        <v>2</v>
      </c>
      <c r="T116" s="5" t="n">
        <v>0</v>
      </c>
      <c r="U116" s="5" t="n">
        <v>1</v>
      </c>
      <c r="V116" s="6">
        <f>SUM(N116:U116)+Z116</f>
        <v/>
      </c>
      <c r="W116" s="6">
        <f>IF(V116&lt;=Params!$B$2,"Low",IF(V116&lt;=Params!$B$3,"Medium","High"))</f>
        <v/>
      </c>
      <c r="X116" s="6">
        <f>IF(W116="High",1,0)</f>
        <v/>
      </c>
      <c r="Y116">
        <f>IF(OR(ISNUMBER(SEARCH("Cholinesterase",$C116)),ISNUMBER(SEARCH("NMDA",$C116)),ISNUMBER(SEARCH("5-HT6",$C116)),ISNUMBER(SEARCH("H3",$C116)),ISNUMBER(SEARCH("Muscarinic",$C116)),ISNUMBER(SEARCH("Nicotinic",$C116)),ISNUMBER(SEARCH("ampakine",$C116)),ISNUMBER(SEARCH("antipsychotic",$C116)),ISNUMBER(SEARCH("symptomatic",$C116))),"Symptomatic","DMT")</f>
        <v/>
      </c>
      <c r="Z116">
        <f>IF(OR(ISNUMBER(SEARCH("5-HT6",$C116)),ISNUMBER(SEARCH("Histamine H3",$C116)),ISNUMBER(SEARCH("H3 receptor",$C116)),ISNUMBER(SEARCH("Muscarinic",$C116)),ISNUMBER(SEARCH("Nicotinic",$C116))),2,0)</f>
        <v/>
      </c>
    </row>
    <row r="117">
      <c r="A117" s="5" t="n">
        <v>1</v>
      </c>
      <c r="B117" s="6" t="inlineStr">
        <is>
          <t>Fosgonimeton (ATH-1017)</t>
        </is>
      </c>
      <c r="C117" s="7" t="inlineStr">
        <is>
          <t>HGF/MET pathway modulator (synaptic repair)</t>
        </is>
      </c>
      <c r="D117" s="7" t="inlineStr">
        <is>
          <t>Mild–moderate AD dementia</t>
        </is>
      </c>
      <c r="E117" s="7" t="inlineStr">
        <is>
          <t>Failed Phase 2/3; development discontinued</t>
        </is>
      </c>
      <c r="F117" s="7" t="inlineStr">
        <is>
          <t>Efficacy</t>
        </is>
      </c>
      <c r="G117" s="7" t="inlineStr">
        <is>
          <t>Pleiotropy/toxicity=1; Stage mismatch=2; Human causality weak=2; Target engagement hard=2; Safety burden=1</t>
        </is>
      </c>
      <c r="H117" s="6" t="inlineStr">
        <is>
          <t>Medium</t>
        </is>
      </c>
      <c r="I117" s="7" t="inlineStr"/>
      <c r="J117" s="5" t="inlineStr">
        <is>
          <t>Unknown</t>
        </is>
      </c>
      <c r="K117" s="5" t="inlineStr">
        <is>
          <t>Unknown</t>
        </is>
      </c>
      <c r="L117" s="5" t="inlineStr">
        <is>
          <t>Unknown</t>
        </is>
      </c>
      <c r="M117" s="8" t="n"/>
      <c r="N117" s="5" t="n">
        <v>1</v>
      </c>
      <c r="O117" s="5" t="n">
        <v>0</v>
      </c>
      <c r="P117" s="5" t="n">
        <v>2</v>
      </c>
      <c r="Q117" s="5" t="n">
        <v>2</v>
      </c>
      <c r="R117" s="5" t="n">
        <v>2</v>
      </c>
      <c r="S117" s="5" t="n">
        <v>1</v>
      </c>
      <c r="T117" s="5" t="n">
        <v>0</v>
      </c>
      <c r="U117" s="5" t="n">
        <v>0</v>
      </c>
      <c r="V117" s="6">
        <f>SUM(N117:U117)+Z117</f>
        <v/>
      </c>
      <c r="W117" s="6">
        <f>IF(V117&lt;=Params!$B$2,"Low",IF(V117&lt;=Params!$B$3,"Medium","High"))</f>
        <v/>
      </c>
      <c r="X117" s="6">
        <f>IF(W117="High",1,0)</f>
        <v/>
      </c>
      <c r="Y117">
        <f>IF(OR(ISNUMBER(SEARCH("Cholinesterase",$C117)),ISNUMBER(SEARCH("NMDA",$C117)),ISNUMBER(SEARCH("5-HT6",$C117)),ISNUMBER(SEARCH("H3",$C117)),ISNUMBER(SEARCH("Muscarinic",$C117)),ISNUMBER(SEARCH("Nicotinic",$C117)),ISNUMBER(SEARCH("ampakine",$C117)),ISNUMBER(SEARCH("antipsychotic",$C117)),ISNUMBER(SEARCH("symptomatic",$C117))),"Symptomatic","DMT")</f>
        <v/>
      </c>
      <c r="Z117">
        <f>IF(OR(ISNUMBER(SEARCH("5-HT6",$C117)),ISNUMBER(SEARCH("Histamine H3",$C117)),ISNUMBER(SEARCH("H3 receptor",$C117)),ISNUMBER(SEARCH("Muscarinic",$C117)),ISNUMBER(SEARCH("Nicotinic",$C117))),2,0)</f>
        <v/>
      </c>
    </row>
    <row r="118">
      <c r="A118" s="5" t="n">
        <v>1</v>
      </c>
      <c r="B118" s="6" t="inlineStr">
        <is>
          <t>AL002</t>
        </is>
      </c>
      <c r="C118" s="7" t="inlineStr">
        <is>
          <t>TREM2 agonist monoclonal antibody</t>
        </is>
      </c>
      <c r="D118" s="7" t="inlineStr">
        <is>
          <t>Early AD</t>
        </is>
      </c>
      <c r="E118" s="7" t="inlineStr">
        <is>
          <t>Phase 2 negative / terminated</t>
        </is>
      </c>
      <c r="F118" s="7" t="inlineStr">
        <is>
          <t>Efficacy</t>
        </is>
      </c>
      <c r="G118" s="7" t="inlineStr">
        <is>
          <t>Pleiotropy/toxicity=1; Human causality weak=1; Target engagement hard=1; Safety burden=1; Sex modifier unmodeled=1; Ancestry modifier unmodeled=1</t>
        </is>
      </c>
      <c r="H118" s="6" t="inlineStr">
        <is>
          <t>Medium</t>
        </is>
      </c>
      <c r="I118" s="7" t="inlineStr"/>
      <c r="J118" s="5" t="inlineStr">
        <is>
          <t>Unknown</t>
        </is>
      </c>
      <c r="K118" s="5" t="inlineStr">
        <is>
          <t>Unknown</t>
        </is>
      </c>
      <c r="L118" s="5" t="inlineStr">
        <is>
          <t>Unknown</t>
        </is>
      </c>
      <c r="M118" s="8" t="n"/>
      <c r="N118" s="5" t="n">
        <v>1</v>
      </c>
      <c r="O118" s="5" t="n">
        <v>0</v>
      </c>
      <c r="P118" s="5" t="n">
        <v>0</v>
      </c>
      <c r="Q118" s="5" t="n">
        <v>1</v>
      </c>
      <c r="R118" s="5" t="n">
        <v>1</v>
      </c>
      <c r="S118" s="5" t="n">
        <v>1</v>
      </c>
      <c r="T118" s="5" t="n">
        <v>1</v>
      </c>
      <c r="U118" s="5" t="n">
        <v>1</v>
      </c>
      <c r="V118" s="6">
        <f>SUM(N118:U118)+Z118</f>
        <v/>
      </c>
      <c r="W118" s="6">
        <f>IF(V118&lt;=Params!$B$2,"Low",IF(V118&lt;=Params!$B$3,"Medium","High"))</f>
        <v/>
      </c>
      <c r="X118" s="6">
        <f>IF(W118="High",1,0)</f>
        <v/>
      </c>
      <c r="Y118">
        <f>IF(OR(ISNUMBER(SEARCH("Cholinesterase",$C118)),ISNUMBER(SEARCH("NMDA",$C118)),ISNUMBER(SEARCH("5-HT6",$C118)),ISNUMBER(SEARCH("H3",$C118)),ISNUMBER(SEARCH("Muscarinic",$C118)),ISNUMBER(SEARCH("Nicotinic",$C118)),ISNUMBER(SEARCH("ampakine",$C118)),ISNUMBER(SEARCH("antipsychotic",$C118)),ISNUMBER(SEARCH("symptomatic",$C118))),"Symptomatic","DMT")</f>
        <v/>
      </c>
      <c r="Z118">
        <f>IF(OR(ISNUMBER(SEARCH("5-HT6",$C118)),ISNUMBER(SEARCH("Histamine H3",$C118)),ISNUMBER(SEARCH("H3 receptor",$C118)),ISNUMBER(SEARCH("Muscarinic",$C118)),ISNUMBER(SEARCH("Nicotinic",$C118))),2,0)</f>
        <v/>
      </c>
    </row>
    <row r="119">
      <c r="A119" s="5" t="n">
        <v>1</v>
      </c>
      <c r="B119" s="6" t="inlineStr">
        <is>
          <t>XPro (pegipanermin / XPro1595)</t>
        </is>
      </c>
      <c r="C119" s="7" t="inlineStr">
        <is>
          <t>TNF inhibitor (dominant-negative TNF)</t>
        </is>
      </c>
      <c r="D119" s="7" t="inlineStr">
        <is>
          <t>Mild–moderate AD dementia</t>
        </is>
      </c>
      <c r="E119" s="7" t="inlineStr">
        <is>
          <t>Failed Phase 2</t>
        </is>
      </c>
      <c r="F119" s="7" t="inlineStr">
        <is>
          <t>Efficacy</t>
        </is>
      </c>
      <c r="G119" s="7" t="inlineStr">
        <is>
          <t>Pleiotropy/toxicity=2; Stage mismatch=2; Human causality weak=2; Target engagement hard=2; Safety burden=2; Sex modifier unmodeled=1; Ancestry modifier unmodeled=1</t>
        </is>
      </c>
      <c r="H119" s="6" t="inlineStr">
        <is>
          <t>High</t>
        </is>
      </c>
      <c r="I119" s="7" t="inlineStr"/>
      <c r="J119" s="5" t="inlineStr">
        <is>
          <t>Unknown</t>
        </is>
      </c>
      <c r="K119" s="5" t="inlineStr">
        <is>
          <t>Unknown</t>
        </is>
      </c>
      <c r="L119" s="5" t="inlineStr">
        <is>
          <t>Unknown</t>
        </is>
      </c>
      <c r="M119" s="8" t="n"/>
      <c r="N119" s="5" t="n">
        <v>2</v>
      </c>
      <c r="O119" s="5" t="n">
        <v>0</v>
      </c>
      <c r="P119" s="5" t="n">
        <v>2</v>
      </c>
      <c r="Q119" s="5" t="n">
        <v>2</v>
      </c>
      <c r="R119" s="5" t="n">
        <v>2</v>
      </c>
      <c r="S119" s="5" t="n">
        <v>2</v>
      </c>
      <c r="T119" s="5" t="n">
        <v>1</v>
      </c>
      <c r="U119" s="5" t="n">
        <v>1</v>
      </c>
      <c r="V119" s="6">
        <f>SUM(N119:U119)+Z119</f>
        <v/>
      </c>
      <c r="W119" s="6">
        <f>IF(V119&lt;=Params!$B$2,"Low",IF(V119&lt;=Params!$B$3,"Medium","High"))</f>
        <v/>
      </c>
      <c r="X119" s="6">
        <f>IF(W119="High",1,0)</f>
        <v/>
      </c>
      <c r="Y119">
        <f>IF(OR(ISNUMBER(SEARCH("Cholinesterase",$C119)),ISNUMBER(SEARCH("NMDA",$C119)),ISNUMBER(SEARCH("5-HT6",$C119)),ISNUMBER(SEARCH("H3",$C119)),ISNUMBER(SEARCH("Muscarinic",$C119)),ISNUMBER(SEARCH("Nicotinic",$C119)),ISNUMBER(SEARCH("ampakine",$C119)),ISNUMBER(SEARCH("antipsychotic",$C119)),ISNUMBER(SEARCH("symptomatic",$C119))),"Symptomatic","DMT")</f>
        <v/>
      </c>
      <c r="Z119">
        <f>IF(OR(ISNUMBER(SEARCH("5-HT6",$C119)),ISNUMBER(SEARCH("Histamine H3",$C119)),ISNUMBER(SEARCH("H3 receptor",$C119)),ISNUMBER(SEARCH("Muscarinic",$C119)),ISNUMBER(SEARCH("Nicotinic",$C119))),2,0)</f>
        <v/>
      </c>
    </row>
    <row r="120">
      <c r="A120" s="5" t="n">
        <v>1</v>
      </c>
      <c r="B120" s="6" t="inlineStr">
        <is>
          <t>Oral semaglutide (Rybelsus)</t>
        </is>
      </c>
      <c r="C120" s="7" t="inlineStr">
        <is>
          <t>GLP-1 receptor agonist (repurposed)</t>
        </is>
      </c>
      <c r="D120" s="7" t="inlineStr">
        <is>
          <t>Early AD</t>
        </is>
      </c>
      <c r="E120" s="7" t="inlineStr">
        <is>
          <t>Phase 3 negative</t>
        </is>
      </c>
      <c r="F120" s="7" t="inlineStr">
        <is>
          <t>Efficacy</t>
        </is>
      </c>
      <c r="G120" s="7" t="inlineStr">
        <is>
          <t>Pleiotropy/toxicity=1; Human causality weak=1; Target engagement hard=1; Safety burden=1; Sex modifier unmodeled=1; Ancestry modifier unmodeled=1</t>
        </is>
      </c>
      <c r="H120" s="6" t="inlineStr">
        <is>
          <t>Medium</t>
        </is>
      </c>
      <c r="I120" s="7" t="inlineStr"/>
      <c r="J120" s="5" t="inlineStr">
        <is>
          <t>Unknown</t>
        </is>
      </c>
      <c r="K120" s="5" t="inlineStr">
        <is>
          <t>Unknown</t>
        </is>
      </c>
      <c r="L120" s="5" t="inlineStr">
        <is>
          <t>Unknown</t>
        </is>
      </c>
      <c r="M120" s="8" t="n"/>
      <c r="N120" s="5" t="n">
        <v>1</v>
      </c>
      <c r="O120" s="5" t="n">
        <v>0</v>
      </c>
      <c r="P120" s="5" t="n">
        <v>0</v>
      </c>
      <c r="Q120" s="5" t="n">
        <v>1</v>
      </c>
      <c r="R120" s="5" t="n">
        <v>1</v>
      </c>
      <c r="S120" s="5" t="n">
        <v>1</v>
      </c>
      <c r="T120" s="5" t="n">
        <v>1</v>
      </c>
      <c r="U120" s="5" t="n">
        <v>1</v>
      </c>
      <c r="V120" s="6">
        <f>SUM(N120:U120)+Z120</f>
        <v/>
      </c>
      <c r="W120" s="6">
        <f>IF(V120&lt;=Params!$B$2,"Low",IF(V120&lt;=Params!$B$3,"Medium","High"))</f>
        <v/>
      </c>
      <c r="X120" s="6">
        <f>IF(W120="High",1,0)</f>
        <v/>
      </c>
      <c r="Y120">
        <f>IF(OR(ISNUMBER(SEARCH("Cholinesterase",$C120)),ISNUMBER(SEARCH("NMDA",$C120)),ISNUMBER(SEARCH("5-HT6",$C120)),ISNUMBER(SEARCH("H3",$C120)),ISNUMBER(SEARCH("Muscarinic",$C120)),ISNUMBER(SEARCH("Nicotinic",$C120)),ISNUMBER(SEARCH("ampakine",$C120)),ISNUMBER(SEARCH("antipsychotic",$C120)),ISNUMBER(SEARCH("symptomatic",$C120))),"Symptomatic","DMT")</f>
        <v/>
      </c>
      <c r="Z120">
        <f>IF(OR(ISNUMBER(SEARCH("5-HT6",$C120)),ISNUMBER(SEARCH("Histamine H3",$C120)),ISNUMBER(SEARCH("H3 receptor",$C120)),ISNUMBER(SEARCH("Muscarinic",$C120)),ISNUMBER(SEARCH("Nicotinic",$C120))),2,0)</f>
        <v/>
      </c>
    </row>
    <row r="121">
      <c r="A121" s="5" t="n">
        <v>1</v>
      </c>
      <c r="B121" s="6" t="inlineStr">
        <is>
          <t>Doxycycline + rifampin</t>
        </is>
      </c>
      <c r="C121" s="7" t="inlineStr">
        <is>
          <t>Antibiotic combo (anti-amyloid hypothesis)</t>
        </is>
      </c>
      <c r="D121" s="7" t="inlineStr">
        <is>
          <t>AD dementia</t>
        </is>
      </c>
      <c r="E121" s="7" t="inlineStr">
        <is>
          <t>No clear benefit; not advanced</t>
        </is>
      </c>
      <c r="F121" s="7" t="inlineStr">
        <is>
          <t>Efficacy</t>
        </is>
      </c>
      <c r="G121" s="7" t="inlineStr">
        <is>
          <t>Wrong species=1; Stage mismatch=2; Safety burden=2; Ancestry modifier unmodeled=1</t>
        </is>
      </c>
      <c r="H121" s="6" t="inlineStr">
        <is>
          <t>Medium</t>
        </is>
      </c>
      <c r="I121" s="7" t="inlineStr"/>
      <c r="J121" s="5" t="inlineStr">
        <is>
          <t>Unknown</t>
        </is>
      </c>
      <c r="K121" s="5" t="inlineStr">
        <is>
          <t>Unknown</t>
        </is>
      </c>
      <c r="L121" s="5" t="inlineStr">
        <is>
          <t>Unknown</t>
        </is>
      </c>
      <c r="M121" s="8" t="n"/>
      <c r="N121" s="5" t="n">
        <v>0</v>
      </c>
      <c r="O121" s="5" t="n">
        <v>1</v>
      </c>
      <c r="P121" s="5" t="n">
        <v>2</v>
      </c>
      <c r="Q121" s="5" t="n">
        <v>0</v>
      </c>
      <c r="R121" s="5" t="n">
        <v>0</v>
      </c>
      <c r="S121" s="5" t="n">
        <v>2</v>
      </c>
      <c r="T121" s="5" t="n">
        <v>0</v>
      </c>
      <c r="U121" s="5" t="n">
        <v>1</v>
      </c>
      <c r="V121" s="6">
        <f>SUM(N121:U121)+Z121</f>
        <v/>
      </c>
      <c r="W121" s="6">
        <f>IF(V121&lt;=Params!$B$2,"Low",IF(V121&lt;=Params!$B$3,"Medium","High"))</f>
        <v/>
      </c>
      <c r="X121" s="6">
        <f>IF(W121="High",1,0)</f>
        <v/>
      </c>
      <c r="Y121">
        <f>IF(OR(ISNUMBER(SEARCH("Cholinesterase",$C121)),ISNUMBER(SEARCH("NMDA",$C121)),ISNUMBER(SEARCH("5-HT6",$C121)),ISNUMBER(SEARCH("H3",$C121)),ISNUMBER(SEARCH("Muscarinic",$C121)),ISNUMBER(SEARCH("Nicotinic",$C121)),ISNUMBER(SEARCH("ampakine",$C121)),ISNUMBER(SEARCH("antipsychotic",$C121)),ISNUMBER(SEARCH("symptomatic",$C121))),"Symptomatic","DMT")</f>
        <v/>
      </c>
      <c r="Z121">
        <f>IF(OR(ISNUMBER(SEARCH("5-HT6",$C121)),ISNUMBER(SEARCH("Histamine H3",$C121)),ISNUMBER(SEARCH("H3 receptor",$C121)),ISNUMBER(SEARCH("Muscarinic",$C121)),ISNUMBER(SEARCH("Nicotinic",$C121))),2,0)</f>
        <v/>
      </c>
    </row>
    <row r="122">
      <c r="A122" s="5" t="n">
        <v>1</v>
      </c>
      <c r="B122" s="6" t="inlineStr">
        <is>
          <t>Rilapladib</t>
        </is>
      </c>
      <c r="C122" s="7" t="inlineStr">
        <is>
          <t>Phospholipase A2 inhibitor</t>
        </is>
      </c>
      <c r="D122" s="7" t="inlineStr">
        <is>
          <t>Mild AD dementia</t>
        </is>
      </c>
      <c r="E122" s="7" t="inlineStr">
        <is>
          <t>No benefit; not advanced</t>
        </is>
      </c>
      <c r="F122" s="7" t="inlineStr">
        <is>
          <t>Efficacy</t>
        </is>
      </c>
      <c r="G122" s="7" t="inlineStr">
        <is>
          <t>Pleiotropy/toxicity=1; Stage mismatch=1; Human causality weak=2; Target engagement hard=2; Safety burden=1; Sex modifier unmodeled=1; Ancestry modifier unmodeled=1</t>
        </is>
      </c>
      <c r="H122" s="6" t="inlineStr">
        <is>
          <t>Medium</t>
        </is>
      </c>
      <c r="I122" s="7" t="inlineStr"/>
      <c r="J122" s="5" t="inlineStr">
        <is>
          <t>Unknown</t>
        </is>
      </c>
      <c r="K122" s="5" t="inlineStr">
        <is>
          <t>Unknown</t>
        </is>
      </c>
      <c r="L122" s="5" t="inlineStr">
        <is>
          <t>Unknown</t>
        </is>
      </c>
      <c r="M122" s="8" t="n"/>
      <c r="N122" s="5" t="n">
        <v>1</v>
      </c>
      <c r="O122" s="5" t="n">
        <v>0</v>
      </c>
      <c r="P122" s="5" t="n">
        <v>1</v>
      </c>
      <c r="Q122" s="5" t="n">
        <v>2</v>
      </c>
      <c r="R122" s="5" t="n">
        <v>2</v>
      </c>
      <c r="S122" s="5" t="n">
        <v>1</v>
      </c>
      <c r="T122" s="5" t="n">
        <v>1</v>
      </c>
      <c r="U122" s="5" t="n">
        <v>1</v>
      </c>
      <c r="V122" s="6">
        <f>SUM(N122:U122)+Z122</f>
        <v/>
      </c>
      <c r="W122" s="6">
        <f>IF(V122&lt;=Params!$B$2,"Low",IF(V122&lt;=Params!$B$3,"Medium","High"))</f>
        <v/>
      </c>
      <c r="X122" s="6">
        <f>IF(W122="High",1,0)</f>
        <v/>
      </c>
      <c r="Y122">
        <f>IF(OR(ISNUMBER(SEARCH("Cholinesterase",$C122)),ISNUMBER(SEARCH("NMDA",$C122)),ISNUMBER(SEARCH("5-HT6",$C122)),ISNUMBER(SEARCH("H3",$C122)),ISNUMBER(SEARCH("Muscarinic",$C122)),ISNUMBER(SEARCH("Nicotinic",$C122)),ISNUMBER(SEARCH("ampakine",$C122)),ISNUMBER(SEARCH("antipsychotic",$C122)),ISNUMBER(SEARCH("symptomatic",$C122))),"Symptomatic","DMT")</f>
        <v/>
      </c>
      <c r="Z122">
        <f>IF(OR(ISNUMBER(SEARCH("5-HT6",$C122)),ISNUMBER(SEARCH("Histamine H3",$C122)),ISNUMBER(SEARCH("H3 receptor",$C122)),ISNUMBER(SEARCH("Muscarinic",$C122)),ISNUMBER(SEARCH("Nicotinic",$C122))),2,0)</f>
        <v/>
      </c>
    </row>
    <row r="123">
      <c r="A123" s="5" t="n">
        <v>1</v>
      </c>
      <c r="B123" s="6" t="inlineStr">
        <is>
          <t>PF-04447943</t>
        </is>
      </c>
      <c r="C123" s="7" t="inlineStr">
        <is>
          <t>PDE9 inhibitor</t>
        </is>
      </c>
      <c r="D123" s="7" t="inlineStr">
        <is>
          <t>Mild–moderate AD dementia</t>
        </is>
      </c>
      <c r="E123" s="7" t="inlineStr">
        <is>
          <t>No benefit; discontinued</t>
        </is>
      </c>
      <c r="F123" s="7" t="inlineStr">
        <is>
          <t>Efficacy</t>
        </is>
      </c>
      <c r="G123" s="7" t="inlineStr">
        <is>
          <t>Pleiotropy/toxicity=1; Human causality weak=1; Target engagement hard=1; Safety burden=1</t>
        </is>
      </c>
      <c r="H123" s="6" t="inlineStr">
        <is>
          <t>Low</t>
        </is>
      </c>
      <c r="I123" s="7" t="inlineStr"/>
      <c r="J123" s="5" t="inlineStr">
        <is>
          <t>Unknown</t>
        </is>
      </c>
      <c r="K123" s="5" t="inlineStr">
        <is>
          <t>Unknown</t>
        </is>
      </c>
      <c r="L123" s="5" t="inlineStr">
        <is>
          <t>Unknown</t>
        </is>
      </c>
      <c r="M123" s="8" t="n"/>
      <c r="N123" s="5" t="n">
        <v>1</v>
      </c>
      <c r="O123" s="5" t="n">
        <v>0</v>
      </c>
      <c r="P123" s="5" t="n">
        <v>0</v>
      </c>
      <c r="Q123" s="5" t="n">
        <v>1</v>
      </c>
      <c r="R123" s="5" t="n">
        <v>1</v>
      </c>
      <c r="S123" s="5" t="n">
        <v>1</v>
      </c>
      <c r="T123" s="5" t="n">
        <v>0</v>
      </c>
      <c r="U123" s="5" t="n">
        <v>0</v>
      </c>
      <c r="V123" s="6">
        <f>SUM(N123:U123)+Z123</f>
        <v/>
      </c>
      <c r="W123" s="6">
        <f>IF(V123&lt;=Params!$B$2,"Low",IF(V123&lt;=Params!$B$3,"Medium","High"))</f>
        <v/>
      </c>
      <c r="X123" s="6">
        <f>IF(W123="High",1,0)</f>
        <v/>
      </c>
      <c r="Y123">
        <f>IF(OR(ISNUMBER(SEARCH("Cholinesterase",$C123)),ISNUMBER(SEARCH("NMDA",$C123)),ISNUMBER(SEARCH("5-HT6",$C123)),ISNUMBER(SEARCH("H3",$C123)),ISNUMBER(SEARCH("Muscarinic",$C123)),ISNUMBER(SEARCH("Nicotinic",$C123)),ISNUMBER(SEARCH("ampakine",$C123)),ISNUMBER(SEARCH("antipsychotic",$C123)),ISNUMBER(SEARCH("symptomatic",$C123))),"Symptomatic","DMT")</f>
        <v/>
      </c>
      <c r="Z123">
        <f>IF(OR(ISNUMBER(SEARCH("5-HT6",$C123)),ISNUMBER(SEARCH("Histamine H3",$C123)),ISNUMBER(SEARCH("H3 receptor",$C123)),ISNUMBER(SEARCH("Muscarinic",$C123)),ISNUMBER(SEARCH("Nicotinic",$C123))),2,0)</f>
        <v/>
      </c>
    </row>
    <row r="124">
      <c r="A124" s="5" t="n">
        <v>1</v>
      </c>
      <c r="B124" s="6" t="inlineStr">
        <is>
          <t>Huperzine A</t>
        </is>
      </c>
      <c r="C124" s="7" t="inlineStr">
        <is>
          <t>Cholinesterase inhibitor (natural product)</t>
        </is>
      </c>
      <c r="D124" s="7" t="inlineStr">
        <is>
          <t>AD dementia</t>
        </is>
      </c>
      <c r="E124" s="7" t="inlineStr">
        <is>
          <t>Insufficient/negative evidence; not approved</t>
        </is>
      </c>
      <c r="F124" s="7" t="inlineStr">
        <is>
          <t>Efficacy</t>
        </is>
      </c>
      <c r="G124" s="7" t="inlineStr">
        <is>
          <t>Pleiotropy/toxicity=1; Safety burden=1</t>
        </is>
      </c>
      <c r="H124" s="6" t="inlineStr">
        <is>
          <t>Low</t>
        </is>
      </c>
      <c r="I124" s="7" t="inlineStr"/>
      <c r="J124" s="5" t="inlineStr">
        <is>
          <t>Unknown</t>
        </is>
      </c>
      <c r="K124" s="5" t="inlineStr">
        <is>
          <t>Unknown</t>
        </is>
      </c>
      <c r="L124" s="5" t="inlineStr">
        <is>
          <t>Unknown</t>
        </is>
      </c>
      <c r="M124" s="8" t="n"/>
      <c r="N124" s="5" t="n">
        <v>1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1</v>
      </c>
      <c r="T124" s="5" t="n">
        <v>0</v>
      </c>
      <c r="U124" s="5" t="n">
        <v>0</v>
      </c>
      <c r="V124" s="6">
        <f>SUM(N124:U124)+Z124</f>
        <v/>
      </c>
      <c r="W124" s="6">
        <f>IF(V124&lt;=Params!$B$2,"Low",IF(V124&lt;=Params!$B$3,"Medium","High"))</f>
        <v/>
      </c>
      <c r="X124" s="6">
        <f>IF(W124="High",1,0)</f>
        <v/>
      </c>
      <c r="Y124">
        <f>IF(OR(ISNUMBER(SEARCH("Cholinesterase",$C124)),ISNUMBER(SEARCH("NMDA",$C124)),ISNUMBER(SEARCH("5-HT6",$C124)),ISNUMBER(SEARCH("H3",$C124)),ISNUMBER(SEARCH("Muscarinic",$C124)),ISNUMBER(SEARCH("Nicotinic",$C124)),ISNUMBER(SEARCH("ampakine",$C124)),ISNUMBER(SEARCH("antipsychotic",$C124)),ISNUMBER(SEARCH("symptomatic",$C124))),"Symptomatic","DMT")</f>
        <v/>
      </c>
      <c r="Z124">
        <f>IF(OR(ISNUMBER(SEARCH("5-HT6",$C124)),ISNUMBER(SEARCH("Histamine H3",$C124)),ISNUMBER(SEARCH("H3 receptor",$C124)),ISNUMBER(SEARCH("Muscarinic",$C124)),ISNUMBER(SEARCH("Nicotinic",$C124))),2,0)</f>
        <v/>
      </c>
    </row>
    <row r="125">
      <c r="A125" s="5" t="n">
        <v>1</v>
      </c>
      <c r="B125" s="6" t="inlineStr">
        <is>
          <t>Cerebrolysin</t>
        </is>
      </c>
      <c r="C125" s="7" t="inlineStr">
        <is>
          <t>Neurotrophic peptide mixture</t>
        </is>
      </c>
      <c r="D125" s="7" t="inlineStr">
        <is>
          <t>AD dementia</t>
        </is>
      </c>
      <c r="E125" s="7" t="inlineStr">
        <is>
          <t>No definitive benefit; not approved</t>
        </is>
      </c>
      <c r="F125" s="7" t="inlineStr">
        <is>
          <t>Efficacy</t>
        </is>
      </c>
      <c r="G125" s="7" t="inlineStr">
        <is>
          <t>Pleiotropy/toxicity=1; Stage mismatch=2; Human causality weak=2; Target engagement hard=2; Safety burden=1</t>
        </is>
      </c>
      <c r="H125" s="6" t="inlineStr">
        <is>
          <t>Medium</t>
        </is>
      </c>
      <c r="I125" s="7" t="inlineStr"/>
      <c r="J125" s="5" t="inlineStr">
        <is>
          <t>Unknown</t>
        </is>
      </c>
      <c r="K125" s="5" t="inlineStr">
        <is>
          <t>Unknown</t>
        </is>
      </c>
      <c r="L125" s="5" t="inlineStr">
        <is>
          <t>Unknown</t>
        </is>
      </c>
      <c r="M125" s="8" t="n"/>
      <c r="N125" s="5" t="n">
        <v>1</v>
      </c>
      <c r="O125" s="5" t="n">
        <v>0</v>
      </c>
      <c r="P125" s="5" t="n">
        <v>2</v>
      </c>
      <c r="Q125" s="5" t="n">
        <v>2</v>
      </c>
      <c r="R125" s="5" t="n">
        <v>2</v>
      </c>
      <c r="S125" s="5" t="n">
        <v>1</v>
      </c>
      <c r="T125" s="5" t="n">
        <v>0</v>
      </c>
      <c r="U125" s="5" t="n">
        <v>0</v>
      </c>
      <c r="V125" s="6">
        <f>SUM(N125:U125)+Z125</f>
        <v/>
      </c>
      <c r="W125" s="6">
        <f>IF(V125&lt;=Params!$B$2,"Low",IF(V125&lt;=Params!$B$3,"Medium","High"))</f>
        <v/>
      </c>
      <c r="X125" s="6">
        <f>IF(W125="High",1,0)</f>
        <v/>
      </c>
      <c r="Y125">
        <f>IF(OR(ISNUMBER(SEARCH("Cholinesterase",$C125)),ISNUMBER(SEARCH("NMDA",$C125)),ISNUMBER(SEARCH("5-HT6",$C125)),ISNUMBER(SEARCH("H3",$C125)),ISNUMBER(SEARCH("Muscarinic",$C125)),ISNUMBER(SEARCH("Nicotinic",$C125)),ISNUMBER(SEARCH("ampakine",$C125)),ISNUMBER(SEARCH("antipsychotic",$C125)),ISNUMBER(SEARCH("symptomatic",$C125))),"Symptomatic","DMT")</f>
        <v/>
      </c>
      <c r="Z125">
        <f>IF(OR(ISNUMBER(SEARCH("5-HT6",$C125)),ISNUMBER(SEARCH("Histamine H3",$C125)),ISNUMBER(SEARCH("H3 receptor",$C125)),ISNUMBER(SEARCH("Muscarinic",$C125)),ISNUMBER(SEARCH("Nicotinic",$C125))),2,0)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  <col width="18" customWidth="1" min="3" max="3"/>
  </cols>
  <sheetData>
    <row r="1">
      <c r="A1" s="4" t="inlineStr">
        <is>
          <t>Flag</t>
        </is>
      </c>
      <c r="B1" s="4" t="inlineStr">
        <is>
          <t>Why it predicts failure</t>
        </is>
      </c>
      <c r="C1" s="4" t="inlineStr">
        <is>
          <t>Suggested score (0-2)</t>
        </is>
      </c>
    </row>
    <row r="2">
      <c r="A2" s="7" t="inlineStr">
        <is>
          <t>Target pleiotropy / essential physiology</t>
        </is>
      </c>
      <c r="B2" s="7" t="inlineStr">
        <is>
          <t>High on-target toxicity risk even if biology is causal (e.g., Notch, synaptic roles).</t>
        </is>
      </c>
      <c r="C2" s="9" t="inlineStr">
        <is>
          <t>0-2</t>
        </is>
      </c>
    </row>
    <row r="3">
      <c r="A3" s="7" t="inlineStr">
        <is>
          <t>Wrong pathological species targeted</t>
        </is>
      </c>
      <c r="B3" s="7" t="inlineStr">
        <is>
          <t>Drug hits plaques/monomer but not synaptotoxic oligomers or intracellular tau.</t>
        </is>
      </c>
      <c r="C3" s="9" t="inlineStr">
        <is>
          <t>0-2</t>
        </is>
      </c>
    </row>
    <row r="4">
      <c r="A4" s="7" t="inlineStr">
        <is>
          <t>Stage mismatch</t>
        </is>
      </c>
      <c r="B4" s="7" t="inlineStr">
        <is>
          <t>Intervention is upstream; late symptomatic disease has irreversible downstream stocks (synapse/neuron loss).</t>
        </is>
      </c>
      <c r="C4" s="9" t="inlineStr">
        <is>
          <t>0-2</t>
        </is>
      </c>
    </row>
    <row r="5">
      <c r="A5" s="7" t="inlineStr">
        <is>
          <t>Human causality weak</t>
        </is>
      </c>
      <c r="B5" s="7" t="inlineStr">
        <is>
          <t>Key edges rely on animal/in vitro evidence without strong human genetic/causal support.</t>
        </is>
      </c>
      <c r="C5" s="9" t="inlineStr">
        <is>
          <t>0-2</t>
        </is>
      </c>
    </row>
    <row r="6">
      <c r="A6" s="7" t="inlineStr">
        <is>
          <t>Target engagement hard to measure/achieve</t>
        </is>
      </c>
      <c r="B6" s="7" t="inlineStr">
        <is>
          <t>If you can't measure occupancy/engagement, you can't dose correctly.</t>
        </is>
      </c>
      <c r="C6" s="9" t="inlineStr">
        <is>
          <t>0-2</t>
        </is>
      </c>
    </row>
    <row r="7">
      <c r="A7" s="7" t="inlineStr">
        <is>
          <t>Safety monitoring burden</t>
        </is>
      </c>
      <c r="B7" s="7" t="inlineStr">
        <is>
          <t>High monitoring requirements reduce feasibility/uptake and can cap dose.</t>
        </is>
      </c>
      <c r="C7" s="9" t="inlineStr">
        <is>
          <t>0-2</t>
        </is>
      </c>
    </row>
    <row r="8">
      <c r="A8" s="7" t="inlineStr">
        <is>
          <t>Sex-pathway effect modifier unmodeled</t>
        </is>
      </c>
      <c r="B8" s="7" t="inlineStr">
        <is>
          <t>If the mechanism intersects lysosome↔microglia/immune pathways, sex hormones and menopause can shift baseline biology and response. No sex/menopause stratification can dilute efficacy signals or hide subgroup-specific safety.</t>
        </is>
      </c>
      <c r="C8" s="9" t="inlineStr">
        <is>
          <t>0-2</t>
        </is>
      </c>
    </row>
    <row r="9">
      <c r="A9" s="7" t="inlineStr">
        <is>
          <t>Ancestry-pathway effect modifier unmodeled</t>
        </is>
      </c>
      <c r="B9" s="7" t="inlineStr">
        <is>
          <t>If the mechanism intersects APOE/lipid handling or screening biomarkers, genetic ancestry (esp. local ancestry at APOE) can modify risk biology and possibly treatment response. Lack of ancestry representation/analysis can create heterogeneous effects and miscalibrated endpoints.</t>
        </is>
      </c>
      <c r="C9" s="9" t="inlineStr">
        <is>
          <t>0-2</t>
        </is>
      </c>
    </row>
    <row r="10">
      <c r="A10" t="inlineStr">
        <is>
          <t>Symptomatic effect size uncertainty (symptomatic only)</t>
        </is>
      </c>
      <c r="B10" t="inlineStr">
        <is>
          <t>For symptomatic neurotransmitter strategies, many mechanism classes show repeated null RCTs despite target engagement. Penalize classes with 0% historical success (e.g., 5-HT6, H3, muscarinic, nicotinic).</t>
        </is>
      </c>
      <c r="C10" t="inlineStr">
        <is>
          <t>0-2</t>
        </is>
      </c>
    </row>
    <row r="11">
      <c r="A11" t="inlineStr">
        <is>
          <t>Failure-point tag (F1-F4) [not scored]</t>
        </is>
      </c>
      <c r="B11" t="inlineStr">
        <is>
          <t>Tag the most likely failure point in the translation chain: F1=PK/BBB/exposure, F2=target engagement/biomarker, F3=clinical translation (biomarker→cognition or symptomatic effect size), F4=implementation/monitoring burden.</t>
        </is>
      </c>
      <c r="C11" t="inlineStr">
        <is>
          <t>—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1" t="inlineStr">
        <is>
          <t>Auto-prediction evaluation (pilot rows filled)</t>
        </is>
      </c>
    </row>
    <row r="2"/>
    <row r="3">
      <c r="A3" s="1" t="inlineStr">
        <is>
          <t>Confusion matrix (Predicted fail = High risk)</t>
        </is>
      </c>
    </row>
    <row r="4">
      <c r="A4" s="6" t="inlineStr"/>
      <c r="B4" s="10" t="inlineStr">
        <is>
          <t>Pred 0 (success)</t>
        </is>
      </c>
      <c r="C4" s="10" t="inlineStr">
        <is>
          <t>Pred 1 (fail)</t>
        </is>
      </c>
    </row>
    <row r="5">
      <c r="A5" s="10" t="inlineStr">
        <is>
          <t>Actual 0 (success)</t>
        </is>
      </c>
      <c r="B5" s="11">
        <f>COUNTIFS(Cases_v2!$A$2:$A$125,0,Cases_v2!$X$2:$X$125,0)</f>
        <v/>
      </c>
      <c r="C5" s="11">
        <f>COUNTIFS(Cases_v2!$A$2:$A$125,0,Cases_v2!$X$2:$X$125,1)</f>
        <v/>
      </c>
    </row>
    <row r="6">
      <c r="A6" s="10" t="inlineStr">
        <is>
          <t>Actual 1 (fail)</t>
        </is>
      </c>
      <c r="B6" s="11">
        <f>COUNTIFS(Cases_v2!$A$2:$A$125,1,Cases_v2!$X$2:$X$125,0)</f>
        <v/>
      </c>
      <c r="C6" s="11">
        <f>COUNTIFS(Cases_v2!$A$2:$A$125,1,Cases_v2!$X$2:$X$125,1)</f>
        <v/>
      </c>
    </row>
    <row r="7"/>
    <row r="8">
      <c r="A8" t="inlineStr">
        <is>
          <t>Accuracy</t>
        </is>
      </c>
      <c r="B8">
        <f>IFERROR((B5+C6)/(B5+C5+B6+C6),"")</f>
        <v/>
      </c>
    </row>
    <row r="9">
      <c r="A9" t="inlineStr">
        <is>
          <t>Precision (PPV)</t>
        </is>
      </c>
      <c r="B9">
        <f>IFERROR(C6/(C6+C5),"")</f>
        <v/>
      </c>
    </row>
    <row r="10">
      <c r="A10" t="inlineStr">
        <is>
          <t>Recall (TPR)</t>
        </is>
      </c>
      <c r="B10">
        <f>IFERROR(C6/(C6+B6),"")</f>
        <v/>
      </c>
    </row>
    <row r="11">
      <c r="A11" t="inlineStr">
        <is>
          <t>Specificity (TNR)</t>
        </is>
      </c>
      <c r="B11">
        <f>IFERROR(B5/(B5+C5),"")</f>
        <v/>
      </c>
    </row>
    <row r="12"/>
    <row r="13">
      <c r="A13" t="inlineStr">
        <is>
          <t>Confusion matrix (Predicted fail = Medium or High risk)</t>
        </is>
      </c>
    </row>
    <row r="14">
      <c r="B14" t="inlineStr">
        <is>
          <t>Pred 0 (success)</t>
        </is>
      </c>
      <c r="C14" t="inlineStr">
        <is>
          <t>Pred 1 (fail)</t>
        </is>
      </c>
    </row>
    <row r="15">
      <c r="A15" t="inlineStr">
        <is>
          <t>Actual 0 (success)</t>
        </is>
      </c>
      <c r="B15">
        <f>COUNTIFS(Cases_v2!$A$2:$A$125,0,Cases_v2!$W$2:$W$125,"Low")</f>
        <v/>
      </c>
      <c r="C15">
        <f>COUNTIFS(Cases_v2!$A$2:$A$125,0,Cases_v2!$W$2:$W$125,"Medium")+COUNTIFS(Cases_v2!$A$2:$A$125,0,Cases_v2!$W$2:$W$125,"High")</f>
        <v/>
      </c>
    </row>
    <row r="16">
      <c r="A16" t="inlineStr">
        <is>
          <t>Actual 1 (fail)</t>
        </is>
      </c>
      <c r="B16">
        <f>COUNTIFS(Cases_v2!$A$2:$A$125,1,Cases_v2!$W$2:$W$125,"Low")</f>
        <v/>
      </c>
      <c r="C16">
        <f>COUNTIFS(Cases_v2!$A$2:$A$125,1,Cases_v2!$W$2:$W$125,"Medium")+COUNTIFS(Cases_v2!$A$2:$A$125,1,Cases_v2!$W$2:$W$125,"High")</f>
        <v/>
      </c>
    </row>
    <row r="17"/>
    <row r="18">
      <c r="A18" t="inlineStr">
        <is>
          <t>Accuracy</t>
        </is>
      </c>
      <c r="B18">
        <f>IFERROR((B15+C16)/(B15+C15+B16+C16),"")</f>
        <v/>
      </c>
    </row>
    <row r="19">
      <c r="A19" t="inlineStr">
        <is>
          <t>Precision (PPV)</t>
        </is>
      </c>
      <c r="B19">
        <f>IFERROR(C16/(C16+C15),"")</f>
        <v/>
      </c>
    </row>
    <row r="20">
      <c r="A20" t="inlineStr">
        <is>
          <t>Recall (TPR)</t>
        </is>
      </c>
      <c r="B20">
        <f>IFERROR(C16/(C16+B16),"")</f>
        <v/>
      </c>
    </row>
    <row r="21">
      <c r="A21" t="inlineStr">
        <is>
          <t>Specificity (TNR)</t>
        </is>
      </c>
      <c r="B21">
        <f>IFERROR(B15/(B15+C15),"")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stress test workbook</t>
        </is>
      </c>
    </row>
    <row r="2"/>
    <row r="3">
      <c r="A3" s="3" t="inlineStr">
        <is>
          <t>1) Add new trials/programs as new rows in Cases_v2.</t>
        </is>
      </c>
    </row>
    <row r="4">
      <c r="A4" s="3" t="inlineStr">
        <is>
          <t>2) Fill Outcome label (1=fail, 0=success) for completed programs.</t>
        </is>
      </c>
    </row>
    <row r="5">
      <c r="A5" s="3" t="inlineStr">
        <is>
          <t>3) Score each red-flag 0-2 using Rubric_v2.</t>
        </is>
      </c>
    </row>
    <row r="6">
      <c r="A6" s="3" t="inlineStr">
        <is>
          <t>4) Auto columns compute Total score and Predicted risk.</t>
        </is>
      </c>
    </row>
    <row r="7">
      <c r="A7" s="3" t="inlineStr">
        <is>
          <t>5) Metrics sheet evaluates performance on rows with outcome labels filled.</t>
        </is>
      </c>
    </row>
    <row r="8">
      <c r="A8" s="3" t="inlineStr"/>
    </row>
    <row r="9">
      <c r="A9" s="3" t="inlineStr">
        <is>
          <t>Sex &amp; ancestry integration:</t>
        </is>
      </c>
    </row>
    <row r="10">
      <c r="A10" s="3" t="inlineStr">
        <is>
          <t>- Use the two new score rows to capture unmodeled effect modification risk.</t>
        </is>
      </c>
    </row>
    <row r="11">
      <c r="A11" s="3" t="inlineStr">
        <is>
          <t>- Record whether the trial stratified by sex/menopause and by ancestry/APOE where relevant.</t>
        </is>
      </c>
    </row>
    <row r="12"/>
    <row r="13">
      <c r="A13" t="inlineStr">
        <is>
          <t>Symptomatic class base-rate modifier:</t>
        </is>
      </c>
    </row>
    <row r="14">
      <c r="A14" t="inlineStr">
        <is>
          <t>- Column Z adds a 0-2 penalty for symptomatic neurotransmitter classes with 0% historical success (5-HT6, H3, muscarinic, nicotinic).</t>
        </is>
      </c>
    </row>
    <row r="15">
      <c r="A15" t="inlineStr">
        <is>
          <t>- This is intended to capture effect-size uncertainty that structural biology scores miss.</t>
        </is>
      </c>
    </row>
    <row r="16"/>
    <row r="17">
      <c r="A17" t="inlineStr">
        <is>
          <t>Failure-point tagging (portfolio triage):</t>
        </is>
      </c>
    </row>
    <row r="18">
      <c r="A18" t="inlineStr">
        <is>
          <t>- Fill Column AA with F1-F4 to mark where the program failed: F1=PK/BBB, F2=TE/biomarker, F3=clinical translation, F4=implementation.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2026-01-14T21:09:14Z</dcterms:created>
  <dcterms:modified xmlns:dcterms="http://purl.org/dc/terms/" xmlns:xsi="http://www.w3.org/2001/XMLSchema-instance" xsi:type="dcterms:W3CDTF">2026-01-14T22:38:39Z</dcterms:modified>
</cp:coreProperties>
</file>